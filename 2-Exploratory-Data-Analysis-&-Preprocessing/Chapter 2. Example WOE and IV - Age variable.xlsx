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0054694\OneDrive - KU Leuven\DB-ONDERWIJS\DS4B\2022-2023\Examples\"/>
    </mc:Choice>
  </mc:AlternateContent>
  <xr:revisionPtr revIDLastSave="24" documentId="8_{ACFBA6D1-1BA2-42E3-8857-670A3444EDDE}" xr6:coauthVersionLast="36" xr6:coauthVersionMax="36" xr10:uidLastSave="{F4F2CFAE-34F4-42CC-86CF-9D673C7621FB}"/>
  <bookViews>
    <workbookView xWindow="0" yWindow="0" windowWidth="19200" windowHeight="7850" xr2:uid="{2DB159DE-3776-4E3B-BB5E-487E24FDF4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2" i="1"/>
  <c r="I9" i="1" l="1"/>
  <c r="F3" i="1"/>
  <c r="F4" i="1"/>
  <c r="F5" i="1"/>
  <c r="F6" i="1"/>
  <c r="F7" i="1"/>
  <c r="F8" i="1"/>
  <c r="F2" i="1"/>
  <c r="D9" i="1"/>
  <c r="E4" i="1" s="1"/>
  <c r="B9" i="1"/>
  <c r="C4" i="1" s="1"/>
  <c r="F9" i="1" l="1"/>
  <c r="G3" i="1" s="1"/>
  <c r="C2" i="1"/>
  <c r="C7" i="1"/>
  <c r="C5" i="1"/>
  <c r="C3" i="1"/>
  <c r="C8" i="1"/>
  <c r="C6" i="1"/>
  <c r="E2" i="1"/>
  <c r="E8" i="1"/>
  <c r="E7" i="1"/>
  <c r="E6" i="1"/>
  <c r="E5" i="1"/>
  <c r="E3" i="1"/>
  <c r="G4" i="1"/>
  <c r="H4" i="1" s="1"/>
  <c r="G5" i="1" l="1"/>
  <c r="H5" i="1" s="1"/>
  <c r="G7" i="1"/>
  <c r="H7" i="1" s="1"/>
  <c r="G2" i="1"/>
  <c r="H2" i="1" s="1"/>
  <c r="G6" i="1"/>
  <c r="H6" i="1" s="1"/>
  <c r="G8" i="1"/>
  <c r="H8" i="1" s="1"/>
  <c r="H3" i="1"/>
</calcChain>
</file>

<file path=xl/sharedStrings.xml><?xml version="1.0" encoding="utf-8"?>
<sst xmlns="http://schemas.openxmlformats.org/spreadsheetml/2006/main" count="18" uniqueCount="18">
  <si>
    <t>Age</t>
  </si>
  <si>
    <t>Count</t>
  </si>
  <si>
    <t>Distr. Count</t>
  </si>
  <si>
    <t>Goods</t>
  </si>
  <si>
    <t>Distr. Goods</t>
  </si>
  <si>
    <t>Bads</t>
  </si>
  <si>
    <t>Distr. Bads</t>
  </si>
  <si>
    <t>WOE</t>
  </si>
  <si>
    <t>Missing</t>
  </si>
  <si>
    <t>18-22</t>
  </si>
  <si>
    <t>23-26</t>
  </si>
  <si>
    <t>27-29</t>
  </si>
  <si>
    <t>30-35</t>
  </si>
  <si>
    <t>35-44</t>
  </si>
  <si>
    <t>44+</t>
  </si>
  <si>
    <t>Total:</t>
  </si>
  <si>
    <t>IV</t>
  </si>
  <si>
    <t>IV: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</si>
</sst>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.0000_ ;\-#,##0.000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0" fillId="0" borderId="3" xfId="2" applyNumberFormat="1" applyFont="1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3" fontId="2" fillId="0" borderId="2" xfId="0" applyNumberFormat="1" applyFont="1" applyBorder="1"/>
    <xf numFmtId="0" fontId="2" fillId="0" borderId="6" xfId="0" applyFont="1" applyBorder="1" applyAlignment="1">
      <alignment horizontal="right" vertical="center"/>
    </xf>
    <xf numFmtId="164" fontId="0" fillId="0" borderId="1" xfId="1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B319-5356-4A34-ACC5-8D9AA50F7391}">
  <dimension ref="A1:I9"/>
  <sheetViews>
    <sheetView tabSelected="1" workbookViewId="0">
      <selection sqref="A1:I9"/>
    </sheetView>
  </sheetViews>
  <sheetFormatPr defaultRowHeight="14.5" x14ac:dyDescent="0.35"/>
  <cols>
    <col min="1" max="8" width="10.81640625" style="1" customWidth="1"/>
    <col min="9" max="9" width="10.81640625" customWidth="1"/>
  </cols>
  <sheetData>
    <row r="1" spans="1:9" s="2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16</v>
      </c>
    </row>
    <row r="2" spans="1:9" x14ac:dyDescent="0.35">
      <c r="A2" s="4" t="s">
        <v>8</v>
      </c>
      <c r="B2" s="4">
        <v>240</v>
      </c>
      <c r="C2" s="5">
        <f>B2/$B$9</f>
        <v>2.181818181818182E-2</v>
      </c>
      <c r="D2" s="4">
        <v>200</v>
      </c>
      <c r="E2" s="5">
        <f>D2/$D$9</f>
        <v>0.02</v>
      </c>
      <c r="F2" s="4">
        <f>B2-D2</f>
        <v>40</v>
      </c>
      <c r="G2" s="5">
        <f>F2/$F$9</f>
        <v>0.04</v>
      </c>
      <c r="H2" s="6">
        <f>LN(E2/G2)*100</f>
        <v>-69.314718055994533</v>
      </c>
      <c r="I2" s="15">
        <f>(E2-G2)*H2/100</f>
        <v>1.3862943611198907E-2</v>
      </c>
    </row>
    <row r="3" spans="1:9" x14ac:dyDescent="0.35">
      <c r="A3" s="4" t="s">
        <v>9</v>
      </c>
      <c r="B3" s="4">
        <v>2400</v>
      </c>
      <c r="C3" s="5">
        <f t="shared" ref="C3:C8" si="0">B3/$B$9</f>
        <v>0.21818181818181817</v>
      </c>
      <c r="D3" s="4">
        <v>2000</v>
      </c>
      <c r="E3" s="5">
        <f t="shared" ref="E3:E8" si="1">D3/$D$9</f>
        <v>0.2</v>
      </c>
      <c r="F3" s="4">
        <f t="shared" ref="F3:F8" si="2">B3-D3</f>
        <v>400</v>
      </c>
      <c r="G3" s="5">
        <f t="shared" ref="G3:G8" si="3">F3/$F$9</f>
        <v>0.4</v>
      </c>
      <c r="H3" s="6">
        <f t="shared" ref="H3:H8" si="4">LN(E3/G3)*100</f>
        <v>-69.314718055994533</v>
      </c>
      <c r="I3" s="15">
        <f t="shared" ref="I3:I8" si="5">(E3-G3)*H3/100</f>
        <v>0.13862943611198908</v>
      </c>
    </row>
    <row r="4" spans="1:9" x14ac:dyDescent="0.35">
      <c r="A4" s="4" t="s">
        <v>10</v>
      </c>
      <c r="B4" s="4">
        <v>2475</v>
      </c>
      <c r="C4" s="5">
        <f t="shared" si="0"/>
        <v>0.22500000000000001</v>
      </c>
      <c r="D4" s="4">
        <v>2183</v>
      </c>
      <c r="E4" s="5">
        <f t="shared" si="1"/>
        <v>0.21829999999999999</v>
      </c>
      <c r="F4" s="4">
        <f t="shared" si="2"/>
        <v>292</v>
      </c>
      <c r="G4" s="5">
        <f t="shared" si="3"/>
        <v>0.29199999999999998</v>
      </c>
      <c r="H4" s="6">
        <f t="shared" si="4"/>
        <v>-29.088353871238347</v>
      </c>
      <c r="I4" s="15">
        <f t="shared" si="5"/>
        <v>2.1438116803102657E-2</v>
      </c>
    </row>
    <row r="5" spans="1:9" x14ac:dyDescent="0.35">
      <c r="A5" s="4" t="s">
        <v>11</v>
      </c>
      <c r="B5" s="4">
        <v>424</v>
      </c>
      <c r="C5" s="5">
        <f t="shared" si="0"/>
        <v>3.8545454545454542E-2</v>
      </c>
      <c r="D5" s="4">
        <v>368</v>
      </c>
      <c r="E5" s="5">
        <f t="shared" si="1"/>
        <v>3.6799999999999999E-2</v>
      </c>
      <c r="F5" s="4">
        <f t="shared" si="2"/>
        <v>56</v>
      </c>
      <c r="G5" s="5">
        <f t="shared" si="3"/>
        <v>5.6000000000000001E-2</v>
      </c>
      <c r="H5" s="6">
        <f t="shared" si="4"/>
        <v>-41.985384556026403</v>
      </c>
      <c r="I5" s="15">
        <f t="shared" si="5"/>
        <v>8.0611938347570702E-3</v>
      </c>
    </row>
    <row r="6" spans="1:9" x14ac:dyDescent="0.35">
      <c r="A6" s="4" t="s">
        <v>12</v>
      </c>
      <c r="B6" s="4">
        <v>2659</v>
      </c>
      <c r="C6" s="5">
        <f t="shared" si="0"/>
        <v>0.24172727272727274</v>
      </c>
      <c r="D6" s="4">
        <v>2530</v>
      </c>
      <c r="E6" s="5">
        <f t="shared" si="1"/>
        <v>0.253</v>
      </c>
      <c r="F6" s="4">
        <f t="shared" si="2"/>
        <v>129</v>
      </c>
      <c r="G6" s="5">
        <f t="shared" si="3"/>
        <v>0.129</v>
      </c>
      <c r="H6" s="6">
        <f t="shared" si="4"/>
        <v>67.357708436584801</v>
      </c>
      <c r="I6" s="15">
        <f t="shared" si="5"/>
        <v>8.3523558461365152E-2</v>
      </c>
    </row>
    <row r="7" spans="1:9" x14ac:dyDescent="0.35">
      <c r="A7" s="4" t="s">
        <v>13</v>
      </c>
      <c r="B7" s="4">
        <v>1864</v>
      </c>
      <c r="C7" s="5">
        <f t="shared" si="0"/>
        <v>0.16945454545454544</v>
      </c>
      <c r="D7" s="4">
        <v>1807</v>
      </c>
      <c r="E7" s="5">
        <f t="shared" si="1"/>
        <v>0.1807</v>
      </c>
      <c r="F7" s="4">
        <f t="shared" si="2"/>
        <v>57</v>
      </c>
      <c r="G7" s="5">
        <f t="shared" si="3"/>
        <v>5.7000000000000002E-2</v>
      </c>
      <c r="H7" s="6">
        <f t="shared" si="4"/>
        <v>115.37869297636325</v>
      </c>
      <c r="I7" s="15">
        <f t="shared" si="5"/>
        <v>0.14272344321176134</v>
      </c>
    </row>
    <row r="8" spans="1:9" ht="15" thickBot="1" x14ac:dyDescent="0.4">
      <c r="A8" s="7" t="s">
        <v>14</v>
      </c>
      <c r="B8" s="7">
        <v>938</v>
      </c>
      <c r="C8" s="8">
        <f t="shared" si="0"/>
        <v>8.5272727272727278E-2</v>
      </c>
      <c r="D8" s="7">
        <v>912</v>
      </c>
      <c r="E8" s="8">
        <f t="shared" si="1"/>
        <v>9.1200000000000003E-2</v>
      </c>
      <c r="F8" s="7">
        <f t="shared" si="2"/>
        <v>26</v>
      </c>
      <c r="G8" s="8">
        <f t="shared" si="3"/>
        <v>2.5999999999999999E-2</v>
      </c>
      <c r="H8" s="9">
        <f t="shared" si="4"/>
        <v>125.49583590588038</v>
      </c>
      <c r="I8" s="15">
        <f t="shared" si="5"/>
        <v>8.1823285010634017E-2</v>
      </c>
    </row>
    <row r="9" spans="1:9" ht="15" thickBot="1" x14ac:dyDescent="0.4">
      <c r="A9" s="10" t="s">
        <v>15</v>
      </c>
      <c r="B9" s="11">
        <f>SUM(B2:B8)</f>
        <v>11000</v>
      </c>
      <c r="C9" s="12"/>
      <c r="D9" s="11">
        <f>SUM(D2:D8)</f>
        <v>10000</v>
      </c>
      <c r="E9" s="12"/>
      <c r="F9" s="11">
        <f>SUM(F2:F8)</f>
        <v>1000</v>
      </c>
      <c r="G9" s="12"/>
      <c r="H9" s="14" t="s">
        <v>17</v>
      </c>
      <c r="I9" s="13">
        <f>SUM(I2:I8)</f>
        <v>0.49006197704480819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4E477C8C2107479A50B74628007655" ma:contentTypeVersion="14" ma:contentTypeDescription="Create a new document." ma:contentTypeScope="" ma:versionID="eacc2b50f6aa5e04cd17b42b23d7a320">
  <xsd:schema xmlns:xsd="http://www.w3.org/2001/XMLSchema" xmlns:xs="http://www.w3.org/2001/XMLSchema" xmlns:p="http://schemas.microsoft.com/office/2006/metadata/properties" xmlns:ns3="ea90b52a-1d75-4f3f-9c80-e967e62e59d2" xmlns:ns4="3dcd04d7-aa1f-4877-bdfd-dc9a2cf03f93" targetNamespace="http://schemas.microsoft.com/office/2006/metadata/properties" ma:root="true" ma:fieldsID="bed739f13939a086eff350f5a8f573a5" ns3:_="" ns4:_="">
    <xsd:import namespace="ea90b52a-1d75-4f3f-9c80-e967e62e59d2"/>
    <xsd:import namespace="3dcd04d7-aa1f-4877-bdfd-dc9a2cf03f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0b52a-1d75-4f3f-9c80-e967e62e59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d04d7-aa1f-4877-bdfd-dc9a2cf03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9C7350-45F2-48C0-9FDC-11D55D77D5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9A50F4-5D5F-4256-9467-601A88E454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90b52a-1d75-4f3f-9c80-e967e62e59d2"/>
    <ds:schemaRef ds:uri="3dcd04d7-aa1f-4877-bdfd-dc9a2cf03f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2A2A5C-9697-4060-8AB1-88CE51D245F3}">
  <ds:schemaRefs>
    <ds:schemaRef ds:uri="http://purl.org/dc/dcmitype/"/>
    <ds:schemaRef ds:uri="ea90b52a-1d75-4f3f-9c80-e967e62e59d2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3dcd04d7-aa1f-4877-bdfd-dc9a2cf03f9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KU 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Wouter Verbeke</dc:creator>
  <cp:lastModifiedBy>Wouter Verbeke</cp:lastModifiedBy>
  <dcterms:created xsi:type="dcterms:W3CDTF">2022-01-04T12:57:48Z</dcterms:created>
  <dcterms:modified xsi:type="dcterms:W3CDTF">2023-04-19T14:21:17Z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0x010100354E477C8C2107479A50B74628007655</vt:lpwstr>
  </property>
</Properties>
</file>