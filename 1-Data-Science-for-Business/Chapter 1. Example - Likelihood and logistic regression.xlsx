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uleuven-my.sharepoint.com/personal/wouter_verbeke_kuleuven_be/Documents/DB - Teaching/DB - DS4B/DSFB 2026-2027/Examples/"/>
    </mc:Choice>
  </mc:AlternateContent>
  <xr:revisionPtr revIDLastSave="75" documentId="8_{ECC89425-7B49-4F73-B4ED-B778065F9456}" xr6:coauthVersionLast="47" xr6:coauthVersionMax="47" xr10:uidLastSave="{72DF6384-C319-4EB6-A4DF-B2A24D807613}"/>
  <bookViews>
    <workbookView xWindow="-28920" yWindow="60" windowWidth="29040" windowHeight="15720" xr2:uid="{AF06D3BD-A5BD-4033-945E-8FEF42E3EA18}"/>
  </bookViews>
  <sheets>
    <sheet name="Sheet1" sheetId="1" r:id="rId1"/>
  </sheets>
  <definedNames>
    <definedName name="solver_adj" localSheetId="0" hidden="1">Sheet1!$C$16:$C$18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Sheet1!$K$12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H26" i="1" s="1"/>
  <c r="K26" i="1" s="1"/>
  <c r="F27" i="1"/>
  <c r="H27" i="1" s="1"/>
  <c r="I27" i="1" s="1"/>
  <c r="K27" i="1" s="1"/>
  <c r="F28" i="1"/>
  <c r="F29" i="1"/>
  <c r="H29" i="1" s="1"/>
  <c r="I29" i="1" s="1"/>
  <c r="K29" i="1" s="1"/>
  <c r="F25" i="1"/>
  <c r="H25" i="1" s="1"/>
  <c r="H28" i="1"/>
  <c r="I28" i="1" s="1"/>
  <c r="K28" i="1" s="1"/>
  <c r="F6" i="1"/>
  <c r="H6" i="1" s="1"/>
  <c r="I6" i="1" s="1"/>
  <c r="F7" i="1"/>
  <c r="H31" i="1" l="1"/>
  <c r="K25" i="1"/>
  <c r="K31" i="1" s="1"/>
  <c r="I25" i="1"/>
  <c r="I26" i="1"/>
  <c r="K6" i="1"/>
  <c r="H7" i="1"/>
  <c r="F8" i="1"/>
  <c r="F9" i="1"/>
  <c r="F10" i="1"/>
  <c r="I7" i="1" l="1"/>
  <c r="K7" i="1"/>
  <c r="H9" i="1"/>
  <c r="I9" i="1" s="1"/>
  <c r="K9" i="1" s="1"/>
  <c r="H10" i="1"/>
  <c r="I10" i="1" s="1"/>
  <c r="K10" i="1" s="1"/>
  <c r="H8" i="1"/>
  <c r="I8" i="1" s="1"/>
  <c r="K8" i="1" s="1"/>
  <c r="K12" i="1" l="1"/>
  <c r="H12" i="1"/>
</calcChain>
</file>

<file path=xl/sharedStrings.xml><?xml version="1.0" encoding="utf-8"?>
<sst xmlns="http://schemas.openxmlformats.org/spreadsheetml/2006/main" count="40" uniqueCount="22">
  <si>
    <t>AGE</t>
  </si>
  <si>
    <t>INCOME</t>
  </si>
  <si>
    <t>b0</t>
  </si>
  <si>
    <t>b1</t>
  </si>
  <si>
    <t>b2</t>
  </si>
  <si>
    <t>SCORE</t>
  </si>
  <si>
    <t>SCORE = b0 + b1*AGE + b2*INCOME</t>
  </si>
  <si>
    <t>PROB = 1 / ( 1 + EXP(-SCORE) )</t>
  </si>
  <si>
    <t>DATA</t>
  </si>
  <si>
    <t>DEFAULT (BAD = 1)</t>
  </si>
  <si>
    <t xml:space="preserve">LIKELIHOOD = </t>
  </si>
  <si>
    <t>PROB (Y = 1)</t>
  </si>
  <si>
    <t>PROB (Y = 0)</t>
  </si>
  <si>
    <t>SCORE = f(X)</t>
  </si>
  <si>
    <t>PROB = f(SCORE)</t>
  </si>
  <si>
    <t>Negative Log-Likelihood</t>
  </si>
  <si>
    <t>Negative Log-Likelihood = -LOG(PROB)</t>
  </si>
  <si>
    <t>PARAMETERS</t>
  </si>
  <si>
    <t>TRAINED MODEL</t>
  </si>
  <si>
    <t>RANDOM MODEL</t>
  </si>
  <si>
    <t>Randomly initialized</t>
  </si>
  <si>
    <t>Optimized with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</si>
</sst>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1" fillId="3" borderId="0" xfId="0" applyFont="1" applyFill="1"/>
    <xf numFmtId="0" fontId="0" fillId="3" borderId="0" xfId="0" applyFill="1"/>
    <xf numFmtId="0" fontId="1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center"/>
    </xf>
    <xf numFmtId="0" fontId="1" fillId="4" borderId="0" xfId="0" applyFont="1" applyFill="1" applyAlignment="1">
      <alignment horizontal="left" wrapText="1"/>
    </xf>
    <xf numFmtId="0" fontId="0" fillId="4" borderId="0" xfId="0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1" fillId="5" borderId="0" xfId="0" applyFont="1" applyFill="1" applyAlignment="1">
      <alignment horizontal="left" wrapText="1"/>
    </xf>
    <xf numFmtId="0" fontId="0" fillId="6" borderId="0" xfId="0" applyFill="1"/>
    <xf numFmtId="0" fontId="1" fillId="6" borderId="0" xfId="0" applyFont="1" applyFill="1" applyAlignment="1">
      <alignment wrapText="1"/>
    </xf>
    <xf numFmtId="0" fontId="0" fillId="6" borderId="0" xfId="0" applyFill="1" applyAlignment="1">
      <alignment horizontal="left"/>
    </xf>
    <xf numFmtId="0" fontId="0" fillId="6" borderId="0" xfId="0" applyFill="1" applyAlignment="1">
      <alignment wrapText="1"/>
    </xf>
    <xf numFmtId="0" fontId="1" fillId="5" borderId="0" xfId="0" applyFont="1" applyFill="1" applyAlignment="1">
      <alignment horizontal="right"/>
    </xf>
    <xf numFmtId="0" fontId="1" fillId="7" borderId="0" xfId="0" applyFont="1" applyFill="1"/>
    <xf numFmtId="0" fontId="0" fillId="7" borderId="0" xfId="0" applyFill="1"/>
    <xf numFmtId="0" fontId="2" fillId="7" borderId="0" xfId="0" applyFont="1" applyFill="1"/>
    <xf numFmtId="0" fontId="3" fillId="7" borderId="0" xfId="0" applyFont="1" applyFill="1"/>
    <xf numFmtId="0" fontId="1" fillId="6" borderId="0" xfId="0" applyFont="1" applyFill="1"/>
    <xf numFmtId="0" fontId="3" fillId="5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0DDB4-3642-4E66-814C-0BA6C94A3E9F}">
  <dimension ref="B2:K37"/>
  <sheetViews>
    <sheetView tabSelected="1" zoomScale="130" zoomScaleNormal="130" workbookViewId="0"/>
  </sheetViews>
  <sheetFormatPr defaultRowHeight="14.5" x14ac:dyDescent="0.35"/>
  <cols>
    <col min="4" max="4" width="8.54296875" customWidth="1"/>
    <col min="5" max="5" width="4.453125" customWidth="1"/>
    <col min="6" max="6" width="31.36328125" style="2" customWidth="1"/>
    <col min="7" max="7" width="12.36328125" style="2" customWidth="1"/>
    <col min="8" max="8" width="16.90625" style="2" customWidth="1"/>
    <col min="9" max="9" width="13.54296875" style="2" customWidth="1"/>
    <col min="10" max="10" width="21.90625" customWidth="1"/>
    <col min="11" max="11" width="11.90625" bestFit="1" customWidth="1"/>
    <col min="12" max="12" width="9.81640625" customWidth="1"/>
  </cols>
  <sheetData>
    <row r="2" spans="2:11" s="3" customFormat="1" ht="29.5" customHeight="1" x14ac:dyDescent="0.35">
      <c r="B2" s="3" t="s">
        <v>19</v>
      </c>
      <c r="F2" s="4" t="s">
        <v>13</v>
      </c>
      <c r="G2" s="4"/>
      <c r="H2" s="4" t="s">
        <v>14</v>
      </c>
      <c r="I2" s="4"/>
    </row>
    <row r="3" spans="2:11" x14ac:dyDescent="0.35">
      <c r="B3" s="5" t="s">
        <v>8</v>
      </c>
      <c r="C3" s="6"/>
      <c r="D3" s="6"/>
      <c r="F3" s="9" t="s">
        <v>6</v>
      </c>
      <c r="G3" s="14"/>
      <c r="H3" s="12" t="s">
        <v>7</v>
      </c>
      <c r="I3" s="12"/>
      <c r="J3" s="24" t="s">
        <v>16</v>
      </c>
      <c r="K3" s="15"/>
    </row>
    <row r="4" spans="2:11" x14ac:dyDescent="0.35">
      <c r="B4" s="6"/>
      <c r="C4" s="6"/>
      <c r="D4" s="6"/>
      <c r="F4" s="10"/>
      <c r="G4" s="13"/>
      <c r="H4" s="13"/>
      <c r="I4" s="13"/>
      <c r="J4" s="15"/>
      <c r="K4" s="15"/>
    </row>
    <row r="5" spans="2:11" s="1" customFormat="1" ht="29" x14ac:dyDescent="0.35">
      <c r="B5" s="7" t="s">
        <v>0</v>
      </c>
      <c r="C5" s="7" t="s">
        <v>1</v>
      </c>
      <c r="D5" s="7" t="s">
        <v>9</v>
      </c>
      <c r="F5" s="11" t="s">
        <v>5</v>
      </c>
      <c r="G5" s="12"/>
      <c r="H5" s="14" t="s">
        <v>11</v>
      </c>
      <c r="I5" s="14" t="s">
        <v>12</v>
      </c>
      <c r="J5" s="16"/>
      <c r="K5" s="15"/>
    </row>
    <row r="6" spans="2:11" x14ac:dyDescent="0.35">
      <c r="B6" s="8">
        <v>24</v>
      </c>
      <c r="C6" s="8">
        <v>1500</v>
      </c>
      <c r="D6" s="8">
        <v>1</v>
      </c>
      <c r="F6" s="10">
        <f>$C$16+$C$17*B6+$C$18*C6</f>
        <v>0.1525</v>
      </c>
      <c r="G6" s="13"/>
      <c r="H6" s="25">
        <f>1/(1+EXP(-F6))</f>
        <v>0.53805128438585914</v>
      </c>
      <c r="I6" s="13">
        <f>1-H6</f>
        <v>0.46194871561414086</v>
      </c>
      <c r="J6" s="17"/>
      <c r="K6" s="18">
        <f>-LOG(H6)</f>
        <v>0.26917632755982046</v>
      </c>
    </row>
    <row r="7" spans="2:11" x14ac:dyDescent="0.35">
      <c r="B7" s="8">
        <v>32</v>
      </c>
      <c r="C7" s="8">
        <v>2000</v>
      </c>
      <c r="D7" s="8">
        <v>1</v>
      </c>
      <c r="F7" s="10">
        <f>$C$16+$C$17*B7+$C$18*C7</f>
        <v>0.20330000000000001</v>
      </c>
      <c r="G7" s="13"/>
      <c r="H7" s="25">
        <f>1/(1+EXP(-F7))</f>
        <v>0.55065066695818676</v>
      </c>
      <c r="I7" s="13">
        <f t="shared" ref="I7:I10" si="0">1-H7</f>
        <v>0.44934933304181324</v>
      </c>
      <c r="J7" s="17"/>
      <c r="K7" s="18">
        <f>-LOG(H7)</f>
        <v>0.25912383041457199</v>
      </c>
    </row>
    <row r="8" spans="2:11" x14ac:dyDescent="0.35">
      <c r="B8" s="8">
        <v>58</v>
      </c>
      <c r="C8" s="8">
        <v>3500</v>
      </c>
      <c r="D8" s="8">
        <v>0</v>
      </c>
      <c r="F8" s="10">
        <f>$C$16+$C$17*B8+$C$18*C8</f>
        <v>0.35590000000000005</v>
      </c>
      <c r="G8" s="13"/>
      <c r="H8" s="13">
        <f t="shared" ref="H8:H10" si="1">1/(1+EXP(-F8))</f>
        <v>0.58804757860741952</v>
      </c>
      <c r="I8" s="25">
        <f t="shared" si="0"/>
        <v>0.41195242139258048</v>
      </c>
      <c r="J8" s="17"/>
      <c r="K8" s="18">
        <f>-LOG(I8)</f>
        <v>0.38515294008303286</v>
      </c>
    </row>
    <row r="9" spans="2:11" x14ac:dyDescent="0.35">
      <c r="B9" s="8">
        <v>42</v>
      </c>
      <c r="C9" s="8">
        <v>2000</v>
      </c>
      <c r="D9" s="8">
        <v>0</v>
      </c>
      <c r="F9" s="10">
        <f>$C$16+$C$17*B9+$C$18*C9</f>
        <v>0.20430000000000001</v>
      </c>
      <c r="G9" s="13"/>
      <c r="H9" s="13">
        <f t="shared" si="1"/>
        <v>0.55089808891541792</v>
      </c>
      <c r="I9" s="25">
        <f t="shared" si="0"/>
        <v>0.44910191108458208</v>
      </c>
      <c r="J9" s="17"/>
      <c r="K9" s="18">
        <f>-LOG(I9)</f>
        <v>0.34765509685952406</v>
      </c>
    </row>
    <row r="10" spans="2:11" x14ac:dyDescent="0.35">
      <c r="B10" s="8">
        <v>31</v>
      </c>
      <c r="C10" s="8">
        <v>1300</v>
      </c>
      <c r="D10" s="8">
        <v>0</v>
      </c>
      <c r="F10" s="10">
        <f>$C$16+$C$17*B10+$C$18*C10</f>
        <v>0.13320000000000001</v>
      </c>
      <c r="G10" s="13"/>
      <c r="H10" s="13">
        <f t="shared" si="1"/>
        <v>0.53325085248086657</v>
      </c>
      <c r="I10" s="25">
        <f t="shared" si="0"/>
        <v>0.46674914751913343</v>
      </c>
      <c r="J10" s="17"/>
      <c r="K10" s="18">
        <f>-LOG(I10)</f>
        <v>0.33091646658311413</v>
      </c>
    </row>
    <row r="11" spans="2:11" ht="7" customHeight="1" x14ac:dyDescent="0.35">
      <c r="B11" s="6"/>
      <c r="C11" s="6"/>
      <c r="D11" s="6"/>
      <c r="F11" s="10"/>
      <c r="G11" s="13"/>
      <c r="H11" s="13"/>
      <c r="I11" s="13"/>
      <c r="J11" s="15"/>
      <c r="K11" s="15"/>
    </row>
    <row r="12" spans="2:11" x14ac:dyDescent="0.35">
      <c r="B12" s="6"/>
      <c r="C12" s="6"/>
      <c r="D12" s="6"/>
      <c r="F12" s="10"/>
      <c r="G12" s="19" t="s">
        <v>10</v>
      </c>
      <c r="H12" s="12">
        <f>H6*H7*I8*I9*I10</f>
        <v>2.5584406012132341E-2</v>
      </c>
      <c r="I12" s="12"/>
      <c r="J12" s="16" t="s">
        <v>15</v>
      </c>
      <c r="K12" s="16">
        <f>SUM(K6:K10)</f>
        <v>1.5920246615000635</v>
      </c>
    </row>
    <row r="14" spans="2:11" x14ac:dyDescent="0.35">
      <c r="B14" s="20" t="s">
        <v>17</v>
      </c>
      <c r="C14" s="21"/>
    </row>
    <row r="15" spans="2:11" x14ac:dyDescent="0.35">
      <c r="B15" s="21" t="s">
        <v>20</v>
      </c>
      <c r="C15" s="21"/>
    </row>
    <row r="16" spans="2:11" x14ac:dyDescent="0.35">
      <c r="B16" s="20" t="s">
        <v>2</v>
      </c>
      <c r="C16" s="23">
        <v>1E-4</v>
      </c>
    </row>
    <row r="17" spans="2:11" x14ac:dyDescent="0.35">
      <c r="B17" s="20" t="s">
        <v>3</v>
      </c>
      <c r="C17" s="23">
        <v>1E-4</v>
      </c>
    </row>
    <row r="18" spans="2:11" x14ac:dyDescent="0.35">
      <c r="B18" s="20" t="s">
        <v>4</v>
      </c>
      <c r="C18" s="23">
        <v>1E-4</v>
      </c>
    </row>
    <row r="20" spans="2:11" s="3" customFormat="1" ht="29.5" customHeight="1" x14ac:dyDescent="0.35">
      <c r="B20" s="3" t="s">
        <v>18</v>
      </c>
      <c r="F20" s="4" t="s">
        <v>13</v>
      </c>
      <c r="G20" s="4"/>
      <c r="H20" s="4" t="s">
        <v>14</v>
      </c>
      <c r="I20" s="4"/>
    </row>
    <row r="22" spans="2:11" x14ac:dyDescent="0.35">
      <c r="B22" s="5" t="s">
        <v>8</v>
      </c>
      <c r="C22" s="6"/>
      <c r="D22" s="6"/>
      <c r="F22" s="9" t="s">
        <v>6</v>
      </c>
      <c r="G22" s="14"/>
      <c r="H22" s="12" t="s">
        <v>7</v>
      </c>
      <c r="I22" s="12"/>
      <c r="J22" s="24" t="s">
        <v>16</v>
      </c>
      <c r="K22" s="15"/>
    </row>
    <row r="23" spans="2:11" x14ac:dyDescent="0.35">
      <c r="B23" s="6"/>
      <c r="C23" s="6"/>
      <c r="D23" s="6"/>
      <c r="F23" s="10"/>
      <c r="G23" s="13"/>
      <c r="H23" s="13"/>
      <c r="I23" s="13"/>
      <c r="J23" s="15"/>
      <c r="K23" s="15"/>
    </row>
    <row r="24" spans="2:11" ht="29" x14ac:dyDescent="0.35">
      <c r="B24" s="7" t="s">
        <v>0</v>
      </c>
      <c r="C24" s="7" t="s">
        <v>1</v>
      </c>
      <c r="D24" s="7" t="s">
        <v>9</v>
      </c>
      <c r="E24" s="1"/>
      <c r="F24" s="11" t="s">
        <v>5</v>
      </c>
      <c r="G24" s="12"/>
      <c r="H24" s="14" t="s">
        <v>11</v>
      </c>
      <c r="I24" s="14" t="s">
        <v>12</v>
      </c>
      <c r="J24" s="16"/>
      <c r="K24" s="15"/>
    </row>
    <row r="25" spans="2:11" x14ac:dyDescent="0.35">
      <c r="B25" s="8">
        <v>24</v>
      </c>
      <c r="C25" s="8">
        <v>1500</v>
      </c>
      <c r="D25" s="8">
        <v>1</v>
      </c>
      <c r="F25" s="10">
        <f>$C$35+$C$36*B25+$C$37*C25</f>
        <v>46.199999999999818</v>
      </c>
      <c r="G25" s="13"/>
      <c r="H25" s="25">
        <f>1/(1+EXP(-F25))</f>
        <v>1</v>
      </c>
      <c r="I25" s="13">
        <f>1-H25</f>
        <v>0</v>
      </c>
      <c r="J25" s="17"/>
      <c r="K25" s="18">
        <f>-LOG(H25)</f>
        <v>0</v>
      </c>
    </row>
    <row r="26" spans="2:11" x14ac:dyDescent="0.35">
      <c r="B26" s="8">
        <v>32</v>
      </c>
      <c r="C26" s="8">
        <v>2000</v>
      </c>
      <c r="D26" s="8">
        <v>1</v>
      </c>
      <c r="F26" s="10">
        <f t="shared" ref="F26:F29" si="2">$C$35+$C$36*B26+$C$37*C26</f>
        <v>61.199999999999818</v>
      </c>
      <c r="G26" s="13"/>
      <c r="H26" s="25">
        <f>1/(1+EXP(-F26))</f>
        <v>1</v>
      </c>
      <c r="I26" s="13">
        <f t="shared" ref="I26:I29" si="3">1-H26</f>
        <v>0</v>
      </c>
      <c r="J26" s="17"/>
      <c r="K26" s="18">
        <f>-LOG(H26)</f>
        <v>0</v>
      </c>
    </row>
    <row r="27" spans="2:11" x14ac:dyDescent="0.35">
      <c r="B27" s="8">
        <v>58</v>
      </c>
      <c r="C27" s="8">
        <v>3500</v>
      </c>
      <c r="D27" s="8">
        <v>0</v>
      </c>
      <c r="F27" s="10">
        <f t="shared" si="2"/>
        <v>-33.800000000000637</v>
      </c>
      <c r="G27" s="13"/>
      <c r="H27" s="13">
        <f t="shared" ref="H27:H29" si="4">1/(1+EXP(-F27))</f>
        <v>2.093372485518048E-15</v>
      </c>
      <c r="I27" s="25">
        <f t="shared" si="3"/>
        <v>0.99999999999999789</v>
      </c>
      <c r="J27" s="17"/>
      <c r="K27" s="18">
        <f>-LOG(I27)</f>
        <v>9.1611109322562366E-16</v>
      </c>
    </row>
    <row r="28" spans="2:11" x14ac:dyDescent="0.35">
      <c r="B28" s="8">
        <v>42</v>
      </c>
      <c r="C28" s="8">
        <v>2000</v>
      </c>
      <c r="D28" s="8">
        <v>0</v>
      </c>
      <c r="F28" s="10">
        <f t="shared" si="2"/>
        <v>-638.80000000000018</v>
      </c>
      <c r="G28" s="13"/>
      <c r="H28" s="13">
        <f t="shared" si="4"/>
        <v>3.7383930463598038E-278</v>
      </c>
      <c r="I28" s="25">
        <f t="shared" si="3"/>
        <v>1</v>
      </c>
      <c r="J28" s="17"/>
      <c r="K28" s="18">
        <f>-LOG(I28)</f>
        <v>0</v>
      </c>
    </row>
    <row r="29" spans="2:11" x14ac:dyDescent="0.35">
      <c r="B29" s="8">
        <v>31</v>
      </c>
      <c r="C29" s="8">
        <v>1300</v>
      </c>
      <c r="D29" s="8">
        <v>0</v>
      </c>
      <c r="F29" s="10">
        <f t="shared" si="2"/>
        <v>-673.80000000000041</v>
      </c>
      <c r="G29" s="13"/>
      <c r="H29" s="13">
        <f t="shared" si="4"/>
        <v>2.3571004652614801E-293</v>
      </c>
      <c r="I29" s="25">
        <f t="shared" si="3"/>
        <v>1</v>
      </c>
      <c r="J29" s="17"/>
      <c r="K29" s="18">
        <f>-LOG(I29)</f>
        <v>0</v>
      </c>
    </row>
    <row r="30" spans="2:11" x14ac:dyDescent="0.35">
      <c r="B30" s="6"/>
      <c r="C30" s="6"/>
      <c r="D30" s="6"/>
      <c r="F30" s="10"/>
      <c r="G30" s="13"/>
      <c r="H30" s="13"/>
      <c r="I30" s="13"/>
      <c r="J30" s="15"/>
      <c r="K30" s="15"/>
    </row>
    <row r="31" spans="2:11" x14ac:dyDescent="0.35">
      <c r="B31" s="6"/>
      <c r="C31" s="6"/>
      <c r="D31" s="6"/>
      <c r="F31" s="10"/>
      <c r="G31" s="19" t="s">
        <v>10</v>
      </c>
      <c r="H31" s="12">
        <f>H25*H26*I27*I28*I29</f>
        <v>0.99999999999999789</v>
      </c>
      <c r="I31" s="12"/>
      <c r="J31" s="16" t="s">
        <v>15</v>
      </c>
      <c r="K31" s="16">
        <f>SUM(K25:K29)</f>
        <v>9.1611109322562366E-16</v>
      </c>
    </row>
    <row r="33" spans="2:3" x14ac:dyDescent="0.35">
      <c r="B33" s="20" t="s">
        <v>17</v>
      </c>
      <c r="C33" s="21"/>
    </row>
    <row r="34" spans="2:3" x14ac:dyDescent="0.35">
      <c r="B34" s="21" t="s">
        <v>21</v>
      </c>
      <c r="C34" s="21"/>
    </row>
    <row r="35" spans="2:3" x14ac:dyDescent="0.35">
      <c r="B35" s="20" t="s">
        <v>2</v>
      </c>
      <c r="C35" s="22">
        <v>1.2</v>
      </c>
    </row>
    <row r="36" spans="2:3" x14ac:dyDescent="0.35">
      <c r="B36" s="20" t="s">
        <v>3</v>
      </c>
      <c r="C36" s="22">
        <v>-70</v>
      </c>
    </row>
    <row r="37" spans="2:3" x14ac:dyDescent="0.35">
      <c r="B37" s="20" t="s">
        <v>4</v>
      </c>
      <c r="C37" s="22">
        <v>1.1499999999999999</v>
      </c>
    </row>
  </sheetData>
  <pageMargins left="0.7" right="0.7" top="0.75" bottom="0.75" header="0.3" footer="0.3"/>
  <pageSetup paperSize="9" orientation="portrait" horizont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4E477C8C2107479A50B74628007655" ma:contentTypeVersion="14" ma:contentTypeDescription="Create a new document." ma:contentTypeScope="" ma:versionID="eacc2b50f6aa5e04cd17b42b23d7a320">
  <xsd:schema xmlns:xsd="http://www.w3.org/2001/XMLSchema" xmlns:xs="http://www.w3.org/2001/XMLSchema" xmlns:p="http://schemas.microsoft.com/office/2006/metadata/properties" xmlns:ns3="ea90b52a-1d75-4f3f-9c80-e967e62e59d2" xmlns:ns4="3dcd04d7-aa1f-4877-bdfd-dc9a2cf03f93" targetNamespace="http://schemas.microsoft.com/office/2006/metadata/properties" ma:root="true" ma:fieldsID="bed739f13939a086eff350f5a8f573a5" ns3:_="" ns4:_="">
    <xsd:import namespace="ea90b52a-1d75-4f3f-9c80-e967e62e59d2"/>
    <xsd:import namespace="3dcd04d7-aa1f-4877-bdfd-dc9a2cf03f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90b52a-1d75-4f3f-9c80-e967e62e59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d04d7-aa1f-4877-bdfd-dc9a2cf03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376556-3796-4543-A107-950B58C199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90b52a-1d75-4f3f-9c80-e967e62e59d2"/>
    <ds:schemaRef ds:uri="3dcd04d7-aa1f-4877-bdfd-dc9a2cf03f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5DB7C2-60AA-44B8-B447-8DF0EFD711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D30FB-4F11-4889-97AB-5612D9954F91}">
  <ds:schemaRefs>
    <ds:schemaRef ds:uri="http://schemas.microsoft.com/office/2006/metadata/properties"/>
    <ds:schemaRef ds:uri="http://purl.org/dc/elements/1.1/"/>
    <ds:schemaRef ds:uri="3dcd04d7-aa1f-4877-bdfd-dc9a2cf03f93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ea90b52a-1d75-4f3f-9c80-e967e62e59d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Wouter Verbeke</dc:creator>
  <cp:lastModifiedBy>Wouter Verbeke</cp:lastModifiedBy>
  <dcterms:created xsi:type="dcterms:W3CDTF">2021-03-26T07:36:23Z</dcterms:created>
  <dcterms:modified xsi:type="dcterms:W3CDTF">2026-09-22T13:15:12Z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0x010100354E477C8C2107479A50B74628007655</vt:lpwstr>
  </property>
</Properties>
</file>