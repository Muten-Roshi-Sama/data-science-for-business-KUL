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wouter_verbeke_kuleuven_be/Documents/DB - Teaching/DB - DS4B/Examples/"/>
    </mc:Choice>
  </mc:AlternateContent>
  <xr:revisionPtr revIDLastSave="0" documentId="14_{5ABDD720-3B6A-4071-AA43-B74F1EE75FDC}" xr6:coauthVersionLast="36" xr6:coauthVersionMax="36" xr10:uidLastSave="{00000000-0000-0000-0000-000000000000}"/>
  <bookViews>
    <workbookView xWindow="0" yWindow="0" windowWidth="19200" windowHeight="8050" xr2:uid="{98F7B110-997A-44EC-821C-B690DCA86396}"/>
  </bookViews>
  <sheets>
    <sheet name="Pivot tables" sheetId="3" r:id="rId1"/>
    <sheet name="WOE calculation" sheetId="1" r:id="rId2"/>
    <sheet name="WOE stability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2" l="1"/>
  <c r="I16" i="2"/>
  <c r="I17" i="2"/>
  <c r="I18" i="2"/>
  <c r="I19" i="2"/>
  <c r="I14" i="2"/>
  <c r="I6" i="2"/>
  <c r="I7" i="2"/>
  <c r="I8" i="2"/>
  <c r="I9" i="2"/>
  <c r="I10" i="2"/>
  <c r="I5" i="2"/>
  <c r="H14" i="2"/>
  <c r="H5" i="2"/>
  <c r="F20" i="2"/>
  <c r="D20" i="2"/>
  <c r="G19" i="2"/>
  <c r="E19" i="2"/>
  <c r="H19" i="2" s="1"/>
  <c r="B19" i="2"/>
  <c r="C19" i="2" s="1"/>
  <c r="G18" i="2"/>
  <c r="E18" i="2"/>
  <c r="H18" i="2" s="1"/>
  <c r="B18" i="2"/>
  <c r="C18" i="2" s="1"/>
  <c r="G17" i="2"/>
  <c r="E17" i="2"/>
  <c r="H17" i="2" s="1"/>
  <c r="B17" i="2"/>
  <c r="C17" i="2" s="1"/>
  <c r="G16" i="2"/>
  <c r="E16" i="2"/>
  <c r="H16" i="2" s="1"/>
  <c r="B16" i="2"/>
  <c r="C16" i="2" s="1"/>
  <c r="G15" i="2"/>
  <c r="E15" i="2"/>
  <c r="H15" i="2" s="1"/>
  <c r="B15" i="2"/>
  <c r="G14" i="2"/>
  <c r="E14" i="2"/>
  <c r="B14" i="2"/>
  <c r="C14" i="2" s="1"/>
  <c r="F11" i="2"/>
  <c r="G6" i="2" s="1"/>
  <c r="D11" i="2"/>
  <c r="E6" i="2" s="1"/>
  <c r="B10" i="2"/>
  <c r="B9" i="2"/>
  <c r="B8" i="2"/>
  <c r="B7" i="2"/>
  <c r="B6" i="2"/>
  <c r="B5" i="2"/>
  <c r="B20" i="2" l="1"/>
  <c r="C15" i="2"/>
  <c r="H6" i="2"/>
  <c r="G5" i="2"/>
  <c r="G10" i="2"/>
  <c r="G9" i="2"/>
  <c r="G8" i="2"/>
  <c r="G7" i="2"/>
  <c r="E8" i="2"/>
  <c r="H8" i="2" s="1"/>
  <c r="E10" i="2"/>
  <c r="H10" i="2" s="1"/>
  <c r="E5" i="2"/>
  <c r="E7" i="2"/>
  <c r="H7" i="2" s="1"/>
  <c r="E9" i="2"/>
  <c r="H9" i="2" s="1"/>
  <c r="B11" i="2"/>
  <c r="C5" i="2" l="1"/>
  <c r="C7" i="2"/>
  <c r="C6" i="2"/>
  <c r="C8" i="2"/>
  <c r="C9" i="2"/>
  <c r="C10" i="2"/>
  <c r="J10" i="1" l="1"/>
  <c r="J9" i="1"/>
  <c r="J8" i="1"/>
  <c r="J7" i="1"/>
  <c r="J6" i="1"/>
  <c r="J5" i="1"/>
  <c r="F17" i="1"/>
  <c r="B17" i="1" s="1"/>
  <c r="F18" i="1"/>
  <c r="B18" i="1" s="1"/>
  <c r="F19" i="1"/>
  <c r="J19" i="1" s="1"/>
  <c r="F20" i="1"/>
  <c r="B20" i="1" s="1"/>
  <c r="F21" i="1"/>
  <c r="B21" i="1" s="1"/>
  <c r="F16" i="1"/>
  <c r="J16" i="1" s="1"/>
  <c r="D22" i="1"/>
  <c r="D11" i="1"/>
  <c r="E7" i="1" s="1"/>
  <c r="F11" i="1"/>
  <c r="G6" i="1" s="1"/>
  <c r="B6" i="1"/>
  <c r="B7" i="1"/>
  <c r="B8" i="1"/>
  <c r="B9" i="1"/>
  <c r="B10" i="1"/>
  <c r="B5" i="1"/>
  <c r="J18" i="1" l="1"/>
  <c r="J21" i="1"/>
  <c r="E20" i="1"/>
  <c r="E21" i="1"/>
  <c r="J20" i="1"/>
  <c r="F22" i="1"/>
  <c r="G17" i="1" s="1"/>
  <c r="J17" i="1"/>
  <c r="B16" i="1"/>
  <c r="E16" i="1"/>
  <c r="E17" i="1"/>
  <c r="E18" i="1"/>
  <c r="B19" i="1"/>
  <c r="E19" i="1"/>
  <c r="E6" i="1"/>
  <c r="H6" i="1" s="1"/>
  <c r="E5" i="1"/>
  <c r="E10" i="1"/>
  <c r="E9" i="1"/>
  <c r="E8" i="1"/>
  <c r="B11" i="1"/>
  <c r="C8" i="1" s="1"/>
  <c r="G5" i="1"/>
  <c r="G8" i="1"/>
  <c r="G9" i="1"/>
  <c r="G7" i="1"/>
  <c r="H7" i="1" s="1"/>
  <c r="G10" i="1"/>
  <c r="H5" i="1" l="1"/>
  <c r="C19" i="1"/>
  <c r="G21" i="1"/>
  <c r="H21" i="1" s="1"/>
  <c r="H17" i="1"/>
  <c r="G18" i="1"/>
  <c r="H18" i="1" s="1"/>
  <c r="G19" i="1"/>
  <c r="H19" i="1" s="1"/>
  <c r="G20" i="1"/>
  <c r="H20" i="1" s="1"/>
  <c r="G16" i="1"/>
  <c r="H16" i="1" s="1"/>
  <c r="C16" i="1"/>
  <c r="C17" i="1"/>
  <c r="C20" i="1"/>
  <c r="B22" i="1"/>
  <c r="C21" i="1"/>
  <c r="H9" i="1"/>
  <c r="C18" i="1"/>
  <c r="H10" i="1"/>
  <c r="H8" i="1"/>
  <c r="C5" i="1"/>
  <c r="C9" i="1"/>
  <c r="C6" i="1"/>
  <c r="C7" i="1"/>
  <c r="C10" i="1"/>
  <c r="B34" i="1" l="1"/>
  <c r="C32" i="1" s="1"/>
  <c r="D32" i="1" l="1"/>
  <c r="E32" i="1" s="1"/>
  <c r="F32" i="1"/>
  <c r="G32" i="1" s="1"/>
  <c r="C30" i="1"/>
  <c r="C31" i="1"/>
  <c r="C33" i="1"/>
  <c r="C28" i="1"/>
  <c r="C29" i="1"/>
  <c r="F29" i="1" l="1"/>
  <c r="G29" i="1" s="1"/>
  <c r="D29" i="1"/>
  <c r="E29" i="1" s="1"/>
  <c r="F28" i="1"/>
  <c r="G28" i="1" s="1"/>
  <c r="D28" i="1"/>
  <c r="E28" i="1" s="1"/>
  <c r="H28" i="1" s="1"/>
  <c r="F33" i="1"/>
  <c r="G33" i="1" s="1"/>
  <c r="D33" i="1"/>
  <c r="E33" i="1" s="1"/>
  <c r="H33" i="1" s="1"/>
  <c r="F31" i="1"/>
  <c r="G31" i="1" s="1"/>
  <c r="D31" i="1"/>
  <c r="E31" i="1" s="1"/>
  <c r="F30" i="1"/>
  <c r="G30" i="1" s="1"/>
  <c r="D30" i="1"/>
  <c r="E30" i="1" s="1"/>
  <c r="H32" i="1"/>
  <c r="H29" i="1" l="1"/>
  <c r="H31" i="1"/>
  <c r="H30" i="1"/>
</calcChain>
</file>

<file path=xl/sharedStrings.xml><?xml version="1.0" encoding="utf-8"?>
<sst xmlns="http://schemas.openxmlformats.org/spreadsheetml/2006/main" count="154" uniqueCount="45">
  <si>
    <t>Category</t>
  </si>
  <si>
    <t>Owner</t>
  </si>
  <si>
    <t>Rent unfurnished</t>
  </si>
  <si>
    <t>With parents</t>
  </si>
  <si>
    <t>Other</t>
  </si>
  <si>
    <t>No answer</t>
  </si>
  <si>
    <t>Good</t>
  </si>
  <si>
    <t>Count</t>
  </si>
  <si>
    <t>Distr. Count</t>
  </si>
  <si>
    <t>Distr. Good</t>
  </si>
  <si>
    <t>Bad</t>
  </si>
  <si>
    <t>Distr. Bad</t>
  </si>
  <si>
    <t>WOE</t>
  </si>
  <si>
    <t>Rent furnished</t>
  </si>
  <si>
    <t>Total</t>
  </si>
  <si>
    <t>What if the proportion of the goods in a category is the same as the proportion of bads in a category? &gt; odds are the same in each category, each category same WOE = 0 value &gt; no predictive power in variable</t>
  </si>
  <si>
    <t>Odds</t>
  </si>
  <si>
    <t>Impact of doubling the number of bads in each category? &gt; proportion of bads in dataset doubles &gt; class distribution changes &gt; WOE remains the same &gt; odds double!</t>
  </si>
  <si>
    <t>Stability of WOE values? &gt; change No answer with one extra good or bad, vs. change Owner with one extra good or bad &gt; difference in change in WOE values!</t>
  </si>
  <si>
    <t>ID</t>
  </si>
  <si>
    <t>Age</t>
  </si>
  <si>
    <t>Income</t>
  </si>
  <si>
    <t>Housing</t>
  </si>
  <si>
    <t>Credit score</t>
  </si>
  <si>
    <t>Default</t>
  </si>
  <si>
    <t>Own</t>
  </si>
  <si>
    <t>?</t>
  </si>
  <si>
    <t>Rent</t>
  </si>
  <si>
    <t>…</t>
  </si>
  <si>
    <t xml:space="preserve">Housing: </t>
  </si>
  <si>
    <t>Good:Bad odds</t>
  </si>
  <si>
    <t>Class = Bad</t>
  </si>
  <si>
    <t>Class = Good</t>
  </si>
  <si>
    <t>20:1</t>
  </si>
  <si>
    <t>4:1</t>
  </si>
  <si>
    <t>2.5:1</t>
  </si>
  <si>
    <t>9.5:1</t>
  </si>
  <si>
    <t>1.8:1</t>
  </si>
  <si>
    <t>9:1</t>
  </si>
  <si>
    <t>1:1</t>
  </si>
  <si>
    <t>Renters</t>
  </si>
  <si>
    <t>Others</t>
  </si>
  <si>
    <t xml:space="preserve">n = </t>
  </si>
  <si>
    <t>WOE_smooth (n = 0,1)</t>
  </si>
  <si>
    <t>Base example WOE calculation housing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</si>
</sst>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#,##0.00_ ;\-#,##0.0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2" xfId="0" applyFont="1" applyBorder="1"/>
    <xf numFmtId="0" fontId="0" fillId="0" borderId="3" xfId="0" applyBorder="1"/>
    <xf numFmtId="9" fontId="0" fillId="0" borderId="3" xfId="2" applyFont="1" applyBorder="1"/>
    <xf numFmtId="43" fontId="0" fillId="0" borderId="4" xfId="1" applyFont="1" applyBorder="1"/>
    <xf numFmtId="0" fontId="2" fillId="0" borderId="5" xfId="0" applyFont="1" applyBorder="1"/>
    <xf numFmtId="0" fontId="0" fillId="0" borderId="0" xfId="0" applyBorder="1"/>
    <xf numFmtId="9" fontId="0" fillId="0" borderId="0" xfId="2" applyFont="1" applyBorder="1"/>
    <xf numFmtId="43" fontId="0" fillId="0" borderId="6" xfId="1" applyFont="1" applyBorder="1"/>
    <xf numFmtId="0" fontId="2" fillId="0" borderId="7" xfId="0" applyFont="1" applyBorder="1"/>
    <xf numFmtId="0" fontId="0" fillId="0" borderId="8" xfId="0" applyBorder="1"/>
    <xf numFmtId="9" fontId="0" fillId="0" borderId="8" xfId="2" applyFont="1" applyBorder="1"/>
    <xf numFmtId="43" fontId="0" fillId="0" borderId="9" xfId="1" applyFont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165" fontId="0" fillId="0" borderId="4" xfId="1" applyNumberFormat="1" applyFont="1" applyBorder="1"/>
    <xf numFmtId="165" fontId="0" fillId="0" borderId="6" xfId="1" applyNumberFormat="1" applyFont="1" applyBorder="1"/>
    <xf numFmtId="165" fontId="0" fillId="0" borderId="9" xfId="1" applyNumberFormat="1" applyFont="1" applyBorder="1"/>
    <xf numFmtId="0" fontId="2" fillId="2" borderId="0" xfId="0" applyFont="1" applyFill="1" applyBorder="1"/>
    <xf numFmtId="0" fontId="0" fillId="0" borderId="13" xfId="0" applyBorder="1"/>
    <xf numFmtId="0" fontId="0" fillId="0" borderId="14" xfId="0" applyBorder="1"/>
    <xf numFmtId="0" fontId="2" fillId="2" borderId="1" xfId="0" applyFont="1" applyFill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0" fillId="3" borderId="3" xfId="0" applyFill="1" applyBorder="1"/>
    <xf numFmtId="9" fontId="0" fillId="3" borderId="3" xfId="2" applyFont="1" applyFill="1" applyBorder="1"/>
    <xf numFmtId="0" fontId="0" fillId="3" borderId="0" xfId="0" applyFill="1" applyBorder="1"/>
    <xf numFmtId="9" fontId="0" fillId="3" borderId="0" xfId="2" applyFont="1" applyFill="1" applyBorder="1"/>
    <xf numFmtId="0" fontId="0" fillId="3" borderId="8" xfId="0" applyFill="1" applyBorder="1"/>
    <xf numFmtId="9" fontId="0" fillId="3" borderId="8" xfId="2" applyFont="1" applyFill="1" applyBorder="1"/>
    <xf numFmtId="0" fontId="0" fillId="4" borderId="3" xfId="0" applyFill="1" applyBorder="1"/>
    <xf numFmtId="9" fontId="0" fillId="4" borderId="3" xfId="2" applyFont="1" applyFill="1" applyBorder="1"/>
    <xf numFmtId="0" fontId="0" fillId="4" borderId="0" xfId="0" applyFill="1" applyBorder="1"/>
    <xf numFmtId="9" fontId="0" fillId="4" borderId="0" xfId="2" applyFont="1" applyFill="1" applyBorder="1"/>
    <xf numFmtId="0" fontId="0" fillId="4" borderId="8" xfId="0" applyFill="1" applyBorder="1"/>
    <xf numFmtId="9" fontId="0" fillId="4" borderId="8" xfId="2" applyFont="1" applyFill="1" applyBorder="1"/>
    <xf numFmtId="0" fontId="3" fillId="4" borderId="3" xfId="0" applyFont="1" applyFill="1" applyBorder="1"/>
    <xf numFmtId="0" fontId="3" fillId="4" borderId="0" xfId="0" applyFont="1" applyFill="1" applyBorder="1"/>
    <xf numFmtId="0" fontId="3" fillId="4" borderId="8" xfId="0" applyFont="1" applyFill="1" applyBorder="1"/>
    <xf numFmtId="164" fontId="3" fillId="3" borderId="3" xfId="1" applyNumberFormat="1" applyFont="1" applyFill="1" applyBorder="1"/>
    <xf numFmtId="164" fontId="3" fillId="3" borderId="0" xfId="1" applyNumberFormat="1" applyFont="1" applyFill="1" applyBorder="1"/>
    <xf numFmtId="164" fontId="3" fillId="3" borderId="8" xfId="1" applyNumberFormat="1" applyFont="1" applyFill="1" applyBorder="1"/>
    <xf numFmtId="164" fontId="3" fillId="4" borderId="3" xfId="1" applyNumberFormat="1" applyFont="1" applyFill="1" applyBorder="1"/>
    <xf numFmtId="164" fontId="3" fillId="4" borderId="0" xfId="1" applyNumberFormat="1" applyFont="1" applyFill="1" applyBorder="1"/>
    <xf numFmtId="164" fontId="3" fillId="4" borderId="8" xfId="1" applyNumberFormat="1" applyFont="1" applyFill="1" applyBorder="1"/>
    <xf numFmtId="0" fontId="2" fillId="2" borderId="15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2" fillId="2" borderId="15" xfId="0" applyFont="1" applyFill="1" applyBorder="1" applyAlignment="1">
      <alignment horizontal="right" vertical="center"/>
    </xf>
    <xf numFmtId="0" fontId="2" fillId="2" borderId="15" xfId="0" applyFont="1" applyFill="1" applyBorder="1" applyAlignment="1">
      <alignment horizontal="left" vertical="center"/>
    </xf>
    <xf numFmtId="0" fontId="2" fillId="5" borderId="15" xfId="0" quotePrefix="1" applyNumberFormat="1" applyFont="1" applyFill="1" applyBorder="1" applyAlignment="1">
      <alignment horizontal="center"/>
    </xf>
    <xf numFmtId="0" fontId="2" fillId="5" borderId="15" xfId="0" quotePrefix="1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3" xfId="2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9" fontId="0" fillId="3" borderId="3" xfId="2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9" fontId="0" fillId="4" borderId="3" xfId="2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0" xfId="2" applyFont="1" applyBorder="1" applyAlignment="1">
      <alignment horizontal="center"/>
    </xf>
    <xf numFmtId="0" fontId="0" fillId="3" borderId="0" xfId="0" applyFill="1" applyBorder="1" applyAlignment="1">
      <alignment horizontal="center"/>
    </xf>
    <xf numFmtId="9" fontId="0" fillId="3" borderId="0" xfId="2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9" fontId="0" fillId="4" borderId="0" xfId="2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9" fontId="0" fillId="0" borderId="8" xfId="2" applyFont="1" applyBorder="1" applyAlignment="1">
      <alignment horizontal="center"/>
    </xf>
    <xf numFmtId="0" fontId="0" fillId="3" borderId="8" xfId="0" applyFill="1" applyBorder="1" applyAlignment="1">
      <alignment horizontal="center"/>
    </xf>
    <xf numFmtId="9" fontId="0" fillId="3" borderId="8" xfId="2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9" fontId="0" fillId="4" borderId="8" xfId="2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43" fontId="0" fillId="0" borderId="12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43" fontId="0" fillId="0" borderId="14" xfId="1" applyFont="1" applyBorder="1" applyAlignment="1">
      <alignment horizontal="center"/>
    </xf>
    <xf numFmtId="43" fontId="0" fillId="0" borderId="12" xfId="1" applyFont="1" applyBorder="1"/>
    <xf numFmtId="43" fontId="0" fillId="0" borderId="3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13" xfId="1" applyFont="1" applyBorder="1"/>
    <xf numFmtId="43" fontId="0" fillId="0" borderId="14" xfId="1" applyFont="1" applyBorder="1"/>
    <xf numFmtId="0" fontId="2" fillId="6" borderId="0" xfId="0" applyFont="1" applyFill="1"/>
    <xf numFmtId="0" fontId="0" fillId="6" borderId="0" xfId="0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39247-3DE6-4E82-A44B-494B31BDC2AE}">
  <dimension ref="A1:P27"/>
  <sheetViews>
    <sheetView tabSelected="1" workbookViewId="0">
      <selection activeCell="S29" sqref="S29"/>
    </sheetView>
  </sheetViews>
  <sheetFormatPr defaultRowHeight="14.5" x14ac:dyDescent="0.35"/>
  <cols>
    <col min="2" max="7" width="10.453125" customWidth="1"/>
    <col min="9" max="9" width="18.36328125" customWidth="1"/>
    <col min="10" max="16" width="11.6328125" customWidth="1"/>
  </cols>
  <sheetData>
    <row r="1" spans="1:16" x14ac:dyDescent="0.35">
      <c r="A1" s="1"/>
    </row>
    <row r="2" spans="1:16" x14ac:dyDescent="0.35">
      <c r="A2" s="1"/>
      <c r="B2" s="51" t="s">
        <v>19</v>
      </c>
      <c r="C2" s="51" t="s">
        <v>20</v>
      </c>
      <c r="D2" s="51" t="s">
        <v>21</v>
      </c>
      <c r="E2" s="51" t="s">
        <v>22</v>
      </c>
      <c r="F2" s="51" t="s">
        <v>23</v>
      </c>
      <c r="G2" s="51" t="s">
        <v>24</v>
      </c>
    </row>
    <row r="3" spans="1:16" x14ac:dyDescent="0.35">
      <c r="A3" s="1"/>
      <c r="B3" s="52">
        <v>12580</v>
      </c>
      <c r="C3" s="52">
        <v>45</v>
      </c>
      <c r="D3" s="52">
        <v>2600</v>
      </c>
      <c r="E3" s="52" t="s">
        <v>25</v>
      </c>
      <c r="F3" s="52">
        <v>620</v>
      </c>
      <c r="G3" s="52" t="s">
        <v>6</v>
      </c>
    </row>
    <row r="4" spans="1:16" x14ac:dyDescent="0.35">
      <c r="A4" s="1"/>
      <c r="B4" s="52">
        <v>42882</v>
      </c>
      <c r="C4" s="52" t="s">
        <v>26</v>
      </c>
      <c r="D4" s="52">
        <v>1100</v>
      </c>
      <c r="E4" s="52" t="s">
        <v>25</v>
      </c>
      <c r="F4" s="52" t="s">
        <v>26</v>
      </c>
      <c r="G4" s="52" t="s">
        <v>10</v>
      </c>
    </row>
    <row r="5" spans="1:16" x14ac:dyDescent="0.35">
      <c r="A5" s="1"/>
      <c r="B5" s="52">
        <v>42440</v>
      </c>
      <c r="C5" s="52">
        <v>27</v>
      </c>
      <c r="D5" s="52">
        <v>1400</v>
      </c>
      <c r="E5" s="52" t="s">
        <v>25</v>
      </c>
      <c r="F5" s="52" t="s">
        <v>26</v>
      </c>
      <c r="G5" s="52" t="s">
        <v>6</v>
      </c>
    </row>
    <row r="6" spans="1:16" x14ac:dyDescent="0.35">
      <c r="A6" s="1"/>
      <c r="B6" s="52">
        <v>24580</v>
      </c>
      <c r="C6" s="52">
        <v>57</v>
      </c>
      <c r="D6" s="52">
        <v>3200</v>
      </c>
      <c r="E6" s="52" t="s">
        <v>27</v>
      </c>
      <c r="F6" s="52">
        <v>700</v>
      </c>
      <c r="G6" s="52" t="s">
        <v>6</v>
      </c>
    </row>
    <row r="7" spans="1:16" x14ac:dyDescent="0.35">
      <c r="A7" s="1"/>
      <c r="B7" s="52">
        <v>31008</v>
      </c>
      <c r="C7" s="52" t="s">
        <v>26</v>
      </c>
      <c r="D7" s="52">
        <v>1800</v>
      </c>
      <c r="E7" s="52" t="s">
        <v>4</v>
      </c>
      <c r="F7" s="52" t="s">
        <v>26</v>
      </c>
      <c r="G7" s="52" t="s">
        <v>6</v>
      </c>
    </row>
    <row r="8" spans="1:16" x14ac:dyDescent="0.35">
      <c r="A8" s="1"/>
      <c r="B8" s="52">
        <v>21007</v>
      </c>
      <c r="C8" s="52">
        <v>42</v>
      </c>
      <c r="D8" s="52">
        <v>1600</v>
      </c>
      <c r="E8" s="52" t="s">
        <v>27</v>
      </c>
      <c r="F8" s="52" t="s">
        <v>26</v>
      </c>
      <c r="G8" s="52" t="s">
        <v>6</v>
      </c>
    </row>
    <row r="9" spans="1:16" x14ac:dyDescent="0.35">
      <c r="A9" s="1"/>
      <c r="B9" s="52">
        <v>67088</v>
      </c>
      <c r="C9" s="52">
        <v>21</v>
      </c>
      <c r="D9" s="52">
        <v>1900</v>
      </c>
      <c r="E9" s="52" t="s">
        <v>25</v>
      </c>
      <c r="F9" s="52" t="s">
        <v>26</v>
      </c>
      <c r="G9" s="52" t="s">
        <v>10</v>
      </c>
    </row>
    <row r="10" spans="1:16" x14ac:dyDescent="0.35">
      <c r="A10" s="1"/>
      <c r="B10" s="52">
        <v>45880</v>
      </c>
      <c r="C10" s="52">
        <v>24</v>
      </c>
      <c r="D10" s="52">
        <v>1500</v>
      </c>
      <c r="E10" s="52" t="s">
        <v>25</v>
      </c>
      <c r="F10" s="52">
        <v>350</v>
      </c>
      <c r="G10" s="52" t="s">
        <v>6</v>
      </c>
    </row>
    <row r="11" spans="1:16" x14ac:dyDescent="0.35">
      <c r="A11" s="1"/>
      <c r="B11" s="52" t="s">
        <v>28</v>
      </c>
      <c r="C11" s="52" t="s">
        <v>28</v>
      </c>
      <c r="D11" s="52" t="s">
        <v>28</v>
      </c>
      <c r="E11" s="52" t="s">
        <v>28</v>
      </c>
      <c r="F11" s="52" t="s">
        <v>28</v>
      </c>
      <c r="G11" s="52" t="s">
        <v>28</v>
      </c>
    </row>
    <row r="12" spans="1:16" x14ac:dyDescent="0.35">
      <c r="A12" s="1"/>
    </row>
    <row r="13" spans="1:16" x14ac:dyDescent="0.35">
      <c r="A13" s="1"/>
    </row>
    <row r="14" spans="1:16" ht="29.5" customHeight="1" x14ac:dyDescent="0.35">
      <c r="A14" s="1"/>
      <c r="I14" s="53" t="s">
        <v>29</v>
      </c>
      <c r="J14" s="57" t="s">
        <v>25</v>
      </c>
      <c r="K14" s="57" t="s">
        <v>2</v>
      </c>
      <c r="L14" s="57" t="s">
        <v>13</v>
      </c>
      <c r="M14" s="57" t="s">
        <v>3</v>
      </c>
      <c r="N14" s="57" t="s">
        <v>4</v>
      </c>
      <c r="O14" s="57" t="s">
        <v>5</v>
      </c>
      <c r="P14" s="57" t="s">
        <v>14</v>
      </c>
    </row>
    <row r="15" spans="1:16" x14ac:dyDescent="0.35">
      <c r="A15" s="1"/>
      <c r="I15" s="54" t="s">
        <v>32</v>
      </c>
      <c r="J15" s="52">
        <v>6000</v>
      </c>
      <c r="K15" s="52">
        <v>1600</v>
      </c>
      <c r="L15" s="52">
        <v>350</v>
      </c>
      <c r="M15" s="52">
        <v>950</v>
      </c>
      <c r="N15" s="52">
        <v>90</v>
      </c>
      <c r="O15" s="52">
        <v>10</v>
      </c>
      <c r="P15" s="52">
        <v>9000</v>
      </c>
    </row>
    <row r="16" spans="1:16" x14ac:dyDescent="0.35">
      <c r="A16" s="1"/>
      <c r="I16" s="54" t="s">
        <v>31</v>
      </c>
      <c r="J16" s="52">
        <v>300</v>
      </c>
      <c r="K16" s="52">
        <v>400</v>
      </c>
      <c r="L16" s="52">
        <v>100</v>
      </c>
      <c r="M16" s="52">
        <v>100</v>
      </c>
      <c r="N16" s="52">
        <v>50</v>
      </c>
      <c r="O16" s="52">
        <v>10</v>
      </c>
      <c r="P16" s="52">
        <v>1000</v>
      </c>
    </row>
    <row r="17" spans="1:16" x14ac:dyDescent="0.35">
      <c r="A17" s="1"/>
      <c r="I17" s="54" t="s">
        <v>30</v>
      </c>
      <c r="J17" s="55" t="s">
        <v>33</v>
      </c>
      <c r="K17" s="56" t="s">
        <v>34</v>
      </c>
      <c r="L17" s="56" t="s">
        <v>35</v>
      </c>
      <c r="M17" s="56" t="s">
        <v>36</v>
      </c>
      <c r="N17" s="56" t="s">
        <v>37</v>
      </c>
      <c r="O17" s="56" t="s">
        <v>39</v>
      </c>
      <c r="P17" s="56" t="s">
        <v>38</v>
      </c>
    </row>
    <row r="18" spans="1:16" x14ac:dyDescent="0.35">
      <c r="A18" s="1"/>
    </row>
    <row r="19" spans="1:16" x14ac:dyDescent="0.35">
      <c r="A19" s="1"/>
      <c r="I19" s="53" t="s">
        <v>29</v>
      </c>
      <c r="J19" s="57" t="s">
        <v>25</v>
      </c>
      <c r="K19" s="57" t="s">
        <v>40</v>
      </c>
      <c r="L19" s="57" t="s">
        <v>41</v>
      </c>
      <c r="M19" s="57" t="s">
        <v>14</v>
      </c>
    </row>
    <row r="20" spans="1:16" x14ac:dyDescent="0.35">
      <c r="A20" s="1"/>
      <c r="I20" s="54" t="s">
        <v>32</v>
      </c>
      <c r="J20" s="52">
        <v>6000</v>
      </c>
      <c r="K20" s="52">
        <v>1600</v>
      </c>
      <c r="L20" s="52">
        <v>350</v>
      </c>
      <c r="M20" s="52">
        <v>9000</v>
      </c>
    </row>
    <row r="21" spans="1:16" x14ac:dyDescent="0.35">
      <c r="A21" s="1"/>
      <c r="I21" s="54" t="s">
        <v>31</v>
      </c>
      <c r="J21" s="52">
        <v>300</v>
      </c>
      <c r="K21" s="52">
        <v>400</v>
      </c>
      <c r="L21" s="52">
        <v>100</v>
      </c>
      <c r="M21" s="52">
        <v>1000</v>
      </c>
    </row>
    <row r="22" spans="1:16" x14ac:dyDescent="0.35">
      <c r="A22" s="1"/>
      <c r="I22" s="54" t="s">
        <v>14</v>
      </c>
      <c r="J22" s="55">
        <v>6300</v>
      </c>
      <c r="K22" s="56">
        <v>2490</v>
      </c>
      <c r="L22" s="56">
        <v>1210</v>
      </c>
      <c r="M22" s="56">
        <v>10000</v>
      </c>
    </row>
    <row r="23" spans="1:16" x14ac:dyDescent="0.35">
      <c r="A23" s="1"/>
    </row>
    <row r="24" spans="1:16" x14ac:dyDescent="0.35">
      <c r="A24" s="1"/>
      <c r="I24" s="53" t="s">
        <v>29</v>
      </c>
      <c r="J24" s="57" t="s">
        <v>25</v>
      </c>
      <c r="K24" s="57" t="s">
        <v>40</v>
      </c>
      <c r="L24" s="57" t="s">
        <v>41</v>
      </c>
      <c r="M24" s="57" t="s">
        <v>14</v>
      </c>
    </row>
    <row r="25" spans="1:16" x14ac:dyDescent="0.35">
      <c r="A25" s="1"/>
      <c r="I25" s="54" t="s">
        <v>32</v>
      </c>
      <c r="J25" s="52">
        <v>5670</v>
      </c>
      <c r="K25" s="52">
        <v>2241</v>
      </c>
      <c r="L25" s="52">
        <v>1089</v>
      </c>
      <c r="M25" s="52">
        <v>9000</v>
      </c>
    </row>
    <row r="26" spans="1:16" x14ac:dyDescent="0.35">
      <c r="A26" s="1"/>
      <c r="I26" s="54" t="s">
        <v>31</v>
      </c>
      <c r="J26" s="52">
        <v>630</v>
      </c>
      <c r="K26" s="52">
        <v>249</v>
      </c>
      <c r="L26" s="52">
        <v>121</v>
      </c>
      <c r="M26" s="52">
        <v>1000</v>
      </c>
    </row>
    <row r="27" spans="1:16" x14ac:dyDescent="0.35">
      <c r="A27" s="1"/>
      <c r="I27" s="54" t="s">
        <v>14</v>
      </c>
      <c r="J27" s="55">
        <v>6300</v>
      </c>
      <c r="K27" s="56">
        <v>2490</v>
      </c>
      <c r="L27" s="56">
        <v>1210</v>
      </c>
      <c r="M27" s="56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372F0-4D2B-4FD4-8E00-1E49A50A99A0}">
  <dimension ref="A2:J34"/>
  <sheetViews>
    <sheetView workbookViewId="0">
      <selection activeCell="A36" sqref="A36:XFD36"/>
    </sheetView>
  </sheetViews>
  <sheetFormatPr defaultRowHeight="14.5" x14ac:dyDescent="0.35"/>
  <cols>
    <col min="1" max="1" width="15.81640625" style="1" bestFit="1" customWidth="1"/>
    <col min="2" max="8" width="11.6328125" customWidth="1"/>
    <col min="9" max="9" width="3" customWidth="1"/>
    <col min="12" max="17" width="10.90625" customWidth="1"/>
    <col min="19" max="19" width="16.08984375" customWidth="1"/>
    <col min="20" max="26" width="11.453125" customWidth="1"/>
  </cols>
  <sheetData>
    <row r="2" spans="1:10" s="92" customFormat="1" x14ac:dyDescent="0.35">
      <c r="A2" s="91" t="s">
        <v>44</v>
      </c>
    </row>
    <row r="3" spans="1:10" ht="15" thickBot="1" x14ac:dyDescent="0.4"/>
    <row r="4" spans="1:10" s="2" customFormat="1" ht="15" thickBot="1" x14ac:dyDescent="0.4">
      <c r="A4" s="26" t="s">
        <v>0</v>
      </c>
      <c r="B4" s="15" t="s">
        <v>7</v>
      </c>
      <c r="C4" s="15" t="s">
        <v>8</v>
      </c>
      <c r="D4" s="15" t="s">
        <v>6</v>
      </c>
      <c r="E4" s="15" t="s">
        <v>9</v>
      </c>
      <c r="F4" s="15" t="s">
        <v>10</v>
      </c>
      <c r="G4" s="15" t="s">
        <v>11</v>
      </c>
      <c r="H4" s="16" t="s">
        <v>12</v>
      </c>
      <c r="J4" s="26" t="s">
        <v>16</v>
      </c>
    </row>
    <row r="5" spans="1:10" x14ac:dyDescent="0.35">
      <c r="A5" s="27" t="s">
        <v>1</v>
      </c>
      <c r="B5" s="4">
        <f>D5+F5</f>
        <v>6300</v>
      </c>
      <c r="C5" s="5">
        <f t="shared" ref="C5:C10" si="0">B5/$B$11</f>
        <v>0.63</v>
      </c>
      <c r="D5" s="30">
        <v>6000</v>
      </c>
      <c r="E5" s="31">
        <f t="shared" ref="E5:E10" si="1">D5/$D$11</f>
        <v>0.66666666666666663</v>
      </c>
      <c r="F5" s="36">
        <v>300</v>
      </c>
      <c r="G5" s="37">
        <f t="shared" ref="G5:G10" si="2">F5/$F$11</f>
        <v>0.3</v>
      </c>
      <c r="H5" s="6">
        <f>LN(E5/G5)*100</f>
        <v>79.850769621777161</v>
      </c>
      <c r="J5" s="24">
        <f t="shared" ref="J5:J10" si="3">D5/F5</f>
        <v>20</v>
      </c>
    </row>
    <row r="6" spans="1:10" x14ac:dyDescent="0.35">
      <c r="A6" s="28" t="s">
        <v>2</v>
      </c>
      <c r="B6" s="8">
        <f t="shared" ref="B6:B10" si="4">D6+F6</f>
        <v>2000</v>
      </c>
      <c r="C6" s="9">
        <f t="shared" si="0"/>
        <v>0.2</v>
      </c>
      <c r="D6" s="32">
        <v>1600</v>
      </c>
      <c r="E6" s="33">
        <f t="shared" si="1"/>
        <v>0.17777777777777778</v>
      </c>
      <c r="F6" s="38">
        <v>400</v>
      </c>
      <c r="G6" s="39">
        <f t="shared" si="2"/>
        <v>0.4</v>
      </c>
      <c r="H6" s="10">
        <f t="shared" ref="H6:H10" si="5">LN(E6/G6)*100</f>
        <v>-81.093021621632872</v>
      </c>
      <c r="J6" s="24">
        <f t="shared" si="3"/>
        <v>4</v>
      </c>
    </row>
    <row r="7" spans="1:10" x14ac:dyDescent="0.35">
      <c r="A7" s="28" t="s">
        <v>13</v>
      </c>
      <c r="B7" s="8">
        <f t="shared" si="4"/>
        <v>490</v>
      </c>
      <c r="C7" s="9">
        <f t="shared" si="0"/>
        <v>4.9000000000000002E-2</v>
      </c>
      <c r="D7" s="32">
        <v>350</v>
      </c>
      <c r="E7" s="33">
        <f t="shared" si="1"/>
        <v>3.888888888888889E-2</v>
      </c>
      <c r="F7" s="38">
        <v>140</v>
      </c>
      <c r="G7" s="39">
        <f t="shared" si="2"/>
        <v>0.14000000000000001</v>
      </c>
      <c r="H7" s="10">
        <f t="shared" si="5"/>
        <v>-128.09338454620644</v>
      </c>
      <c r="J7" s="24">
        <f t="shared" si="3"/>
        <v>2.5</v>
      </c>
    </row>
    <row r="8" spans="1:10" x14ac:dyDescent="0.35">
      <c r="A8" s="28" t="s">
        <v>3</v>
      </c>
      <c r="B8" s="8">
        <f t="shared" si="4"/>
        <v>1050</v>
      </c>
      <c r="C8" s="9">
        <f t="shared" si="0"/>
        <v>0.105</v>
      </c>
      <c r="D8" s="32">
        <v>950</v>
      </c>
      <c r="E8" s="33">
        <f t="shared" si="1"/>
        <v>0.10555555555555556</v>
      </c>
      <c r="F8" s="38">
        <v>100</v>
      </c>
      <c r="G8" s="39">
        <f t="shared" si="2"/>
        <v>0.1</v>
      </c>
      <c r="H8" s="10">
        <f t="shared" si="5"/>
        <v>5.4067221270275789</v>
      </c>
      <c r="J8" s="24">
        <f t="shared" si="3"/>
        <v>9.5</v>
      </c>
    </row>
    <row r="9" spans="1:10" x14ac:dyDescent="0.35">
      <c r="A9" s="28" t="s">
        <v>4</v>
      </c>
      <c r="B9" s="8">
        <f t="shared" si="4"/>
        <v>140</v>
      </c>
      <c r="C9" s="9">
        <f t="shared" si="0"/>
        <v>1.4E-2</v>
      </c>
      <c r="D9" s="32">
        <v>90</v>
      </c>
      <c r="E9" s="33">
        <f t="shared" si="1"/>
        <v>0.01</v>
      </c>
      <c r="F9" s="38">
        <v>50</v>
      </c>
      <c r="G9" s="39">
        <f t="shared" si="2"/>
        <v>0.05</v>
      </c>
      <c r="H9" s="10">
        <f t="shared" si="5"/>
        <v>-160.94379124341006</v>
      </c>
      <c r="J9" s="24">
        <f t="shared" si="3"/>
        <v>1.8</v>
      </c>
    </row>
    <row r="10" spans="1:10" ht="15" thickBot="1" x14ac:dyDescent="0.4">
      <c r="A10" s="29" t="s">
        <v>5</v>
      </c>
      <c r="B10" s="12">
        <f t="shared" si="4"/>
        <v>20</v>
      </c>
      <c r="C10" s="13">
        <f t="shared" si="0"/>
        <v>2E-3</v>
      </c>
      <c r="D10" s="34">
        <v>10</v>
      </c>
      <c r="E10" s="35">
        <f t="shared" si="1"/>
        <v>1.1111111111111111E-3</v>
      </c>
      <c r="F10" s="40">
        <v>10</v>
      </c>
      <c r="G10" s="41">
        <f t="shared" si="2"/>
        <v>0.01</v>
      </c>
      <c r="H10" s="14">
        <f t="shared" si="5"/>
        <v>-219.72245773362195</v>
      </c>
      <c r="J10" s="25">
        <f t="shared" si="3"/>
        <v>1</v>
      </c>
    </row>
    <row r="11" spans="1:10" x14ac:dyDescent="0.35">
      <c r="A11" s="1" t="s">
        <v>14</v>
      </c>
      <c r="B11">
        <f>SUM(B5:B10)</f>
        <v>10000</v>
      </c>
      <c r="D11">
        <f>SUM(D5:D10)</f>
        <v>9000</v>
      </c>
      <c r="F11">
        <f>SUM(F5:F10)</f>
        <v>1000</v>
      </c>
    </row>
    <row r="12" spans="1:10" ht="15.5" customHeight="1" x14ac:dyDescent="0.35"/>
    <row r="13" spans="1:10" s="92" customFormat="1" x14ac:dyDescent="0.35">
      <c r="A13" s="91" t="s">
        <v>17</v>
      </c>
    </row>
    <row r="14" spans="1:10" ht="15" thickBot="1" x14ac:dyDescent="0.4"/>
    <row r="15" spans="1:10" ht="15" thickBot="1" x14ac:dyDescent="0.4">
      <c r="A15" s="17" t="s">
        <v>0</v>
      </c>
      <c r="B15" s="18" t="s">
        <v>7</v>
      </c>
      <c r="C15" s="18" t="s">
        <v>8</v>
      </c>
      <c r="D15" s="18" t="s">
        <v>6</v>
      </c>
      <c r="E15" s="18" t="s">
        <v>9</v>
      </c>
      <c r="F15" s="18" t="s">
        <v>10</v>
      </c>
      <c r="G15" s="18" t="s">
        <v>11</v>
      </c>
      <c r="H15" s="19" t="s">
        <v>12</v>
      </c>
      <c r="J15" s="23" t="s">
        <v>16</v>
      </c>
    </row>
    <row r="16" spans="1:10" x14ac:dyDescent="0.35">
      <c r="A16" s="3" t="s">
        <v>1</v>
      </c>
      <c r="B16" s="4">
        <f>D16+F16</f>
        <v>6600</v>
      </c>
      <c r="C16" s="5">
        <f t="shared" ref="C16:C21" si="6">B16/$B$11</f>
        <v>0.66</v>
      </c>
      <c r="D16" s="30">
        <v>6000</v>
      </c>
      <c r="E16" s="31">
        <f t="shared" ref="E16:E21" si="7">D16/$D$11</f>
        <v>0.66666666666666663</v>
      </c>
      <c r="F16" s="42">
        <f>F5*2</f>
        <v>600</v>
      </c>
      <c r="G16" s="37">
        <f>F16/$F$22</f>
        <v>0.3</v>
      </c>
      <c r="H16" s="6">
        <f>LN(E16/G16)*100</f>
        <v>79.850769621777161</v>
      </c>
      <c r="J16">
        <f t="shared" ref="J16:J21" si="8">D16/F16</f>
        <v>10</v>
      </c>
    </row>
    <row r="17" spans="1:10" x14ac:dyDescent="0.35">
      <c r="A17" s="7" t="s">
        <v>2</v>
      </c>
      <c r="B17" s="8">
        <f t="shared" ref="B17:B21" si="9">D17+F17</f>
        <v>2400</v>
      </c>
      <c r="C17" s="9">
        <f t="shared" si="6"/>
        <v>0.24</v>
      </c>
      <c r="D17" s="32">
        <v>1600</v>
      </c>
      <c r="E17" s="33">
        <f t="shared" si="7"/>
        <v>0.17777777777777778</v>
      </c>
      <c r="F17" s="43">
        <f>F6*2</f>
        <v>800</v>
      </c>
      <c r="G17" s="39">
        <f t="shared" ref="G17:G21" si="10">F17/$F$22</f>
        <v>0.4</v>
      </c>
      <c r="H17" s="10">
        <f t="shared" ref="H17:H21" si="11">LN(E17/G17)*100</f>
        <v>-81.093021621632872</v>
      </c>
      <c r="J17">
        <f t="shared" si="8"/>
        <v>2</v>
      </c>
    </row>
    <row r="18" spans="1:10" x14ac:dyDescent="0.35">
      <c r="A18" s="7" t="s">
        <v>13</v>
      </c>
      <c r="B18" s="8">
        <f t="shared" si="9"/>
        <v>630</v>
      </c>
      <c r="C18" s="9">
        <f t="shared" si="6"/>
        <v>6.3E-2</v>
      </c>
      <c r="D18" s="32">
        <v>350</v>
      </c>
      <c r="E18" s="33">
        <f t="shared" si="7"/>
        <v>3.888888888888889E-2</v>
      </c>
      <c r="F18" s="43">
        <f>F7*2</f>
        <v>280</v>
      </c>
      <c r="G18" s="39">
        <f t="shared" si="10"/>
        <v>0.14000000000000001</v>
      </c>
      <c r="H18" s="10">
        <f t="shared" si="11"/>
        <v>-128.09338454620644</v>
      </c>
      <c r="J18">
        <f t="shared" si="8"/>
        <v>1.25</v>
      </c>
    </row>
    <row r="19" spans="1:10" x14ac:dyDescent="0.35">
      <c r="A19" s="7" t="s">
        <v>3</v>
      </c>
      <c r="B19" s="8">
        <f t="shared" si="9"/>
        <v>1150</v>
      </c>
      <c r="C19" s="9">
        <f t="shared" si="6"/>
        <v>0.115</v>
      </c>
      <c r="D19" s="32">
        <v>950</v>
      </c>
      <c r="E19" s="33">
        <f t="shared" si="7"/>
        <v>0.10555555555555556</v>
      </c>
      <c r="F19" s="43">
        <f>F8*2</f>
        <v>200</v>
      </c>
      <c r="G19" s="39">
        <f t="shared" si="10"/>
        <v>0.1</v>
      </c>
      <c r="H19" s="10">
        <f t="shared" si="11"/>
        <v>5.4067221270275789</v>
      </c>
      <c r="J19">
        <f t="shared" si="8"/>
        <v>4.75</v>
      </c>
    </row>
    <row r="20" spans="1:10" x14ac:dyDescent="0.35">
      <c r="A20" s="7" t="s">
        <v>4</v>
      </c>
      <c r="B20" s="8">
        <f t="shared" si="9"/>
        <v>190</v>
      </c>
      <c r="C20" s="9">
        <f t="shared" si="6"/>
        <v>1.9E-2</v>
      </c>
      <c r="D20" s="32">
        <v>90</v>
      </c>
      <c r="E20" s="33">
        <f t="shared" si="7"/>
        <v>0.01</v>
      </c>
      <c r="F20" s="43">
        <f>F9*2</f>
        <v>100</v>
      </c>
      <c r="G20" s="39">
        <f t="shared" si="10"/>
        <v>0.05</v>
      </c>
      <c r="H20" s="10">
        <f t="shared" si="11"/>
        <v>-160.94379124341006</v>
      </c>
      <c r="J20">
        <f t="shared" si="8"/>
        <v>0.9</v>
      </c>
    </row>
    <row r="21" spans="1:10" ht="15" thickBot="1" x14ac:dyDescent="0.4">
      <c r="A21" s="11" t="s">
        <v>5</v>
      </c>
      <c r="B21" s="12">
        <f t="shared" si="9"/>
        <v>30</v>
      </c>
      <c r="C21" s="13">
        <f t="shared" si="6"/>
        <v>3.0000000000000001E-3</v>
      </c>
      <c r="D21" s="34">
        <v>10</v>
      </c>
      <c r="E21" s="35">
        <f t="shared" si="7"/>
        <v>1.1111111111111111E-3</v>
      </c>
      <c r="F21" s="44">
        <f>F10*2</f>
        <v>20</v>
      </c>
      <c r="G21" s="41">
        <f t="shared" si="10"/>
        <v>0.01</v>
      </c>
      <c r="H21" s="14">
        <f t="shared" si="11"/>
        <v>-219.72245773362195</v>
      </c>
      <c r="J21">
        <f t="shared" si="8"/>
        <v>0.5</v>
      </c>
    </row>
    <row r="22" spans="1:10" x14ac:dyDescent="0.35">
      <c r="A22" s="1" t="s">
        <v>14</v>
      </c>
      <c r="B22">
        <f>SUM(B16:B21)</f>
        <v>11000</v>
      </c>
      <c r="D22">
        <f>SUM(D16:D21)</f>
        <v>9000</v>
      </c>
      <c r="F22">
        <f>SUM(F16:F21)</f>
        <v>2000</v>
      </c>
    </row>
    <row r="25" spans="1:10" s="92" customFormat="1" x14ac:dyDescent="0.35">
      <c r="A25" s="91" t="s">
        <v>15</v>
      </c>
    </row>
    <row r="26" spans="1:10" ht="15" thickBot="1" x14ac:dyDescent="0.4"/>
    <row r="27" spans="1:10" ht="15" thickBot="1" x14ac:dyDescent="0.4">
      <c r="A27" s="17" t="s">
        <v>0</v>
      </c>
      <c r="B27" s="18" t="s">
        <v>7</v>
      </c>
      <c r="C27" s="18" t="s">
        <v>8</v>
      </c>
      <c r="D27" s="18" t="s">
        <v>6</v>
      </c>
      <c r="E27" s="18" t="s">
        <v>9</v>
      </c>
      <c r="F27" s="18" t="s">
        <v>10</v>
      </c>
      <c r="G27" s="18" t="s">
        <v>11</v>
      </c>
      <c r="H27" s="19" t="s">
        <v>12</v>
      </c>
    </row>
    <row r="28" spans="1:10" x14ac:dyDescent="0.35">
      <c r="A28" s="3" t="s">
        <v>1</v>
      </c>
      <c r="B28" s="4">
        <v>6300</v>
      </c>
      <c r="C28" s="5">
        <f>B28/B34</f>
        <v>0.63</v>
      </c>
      <c r="D28" s="45">
        <f t="shared" ref="D28:D33" si="12">C28*$D$34</f>
        <v>5670</v>
      </c>
      <c r="E28" s="31">
        <f t="shared" ref="E28:E33" si="13">D28/$D$11</f>
        <v>0.63</v>
      </c>
      <c r="F28" s="48">
        <f>C28*$F$34</f>
        <v>630</v>
      </c>
      <c r="G28" s="37">
        <f>F28/$F$34</f>
        <v>0.63</v>
      </c>
      <c r="H28" s="20">
        <f>LN(E28/G28)*100</f>
        <v>0</v>
      </c>
    </row>
    <row r="29" spans="1:10" x14ac:dyDescent="0.35">
      <c r="A29" s="7" t="s">
        <v>2</v>
      </c>
      <c r="B29" s="8">
        <v>2000</v>
      </c>
      <c r="C29" s="9">
        <f>B29/$B$34</f>
        <v>0.2</v>
      </c>
      <c r="D29" s="46">
        <f t="shared" si="12"/>
        <v>1800</v>
      </c>
      <c r="E29" s="33">
        <f t="shared" si="13"/>
        <v>0.2</v>
      </c>
      <c r="F29" s="49">
        <f t="shared" ref="F29:F33" si="14">C29*$F$34</f>
        <v>200</v>
      </c>
      <c r="G29" s="39">
        <f t="shared" ref="G29:G33" si="15">F29/$F$34</f>
        <v>0.2</v>
      </c>
      <c r="H29" s="21">
        <f t="shared" ref="H29:H33" si="16">LN(E29/G29)*100</f>
        <v>0</v>
      </c>
    </row>
    <row r="30" spans="1:10" x14ac:dyDescent="0.35">
      <c r="A30" s="7" t="s">
        <v>13</v>
      </c>
      <c r="B30" s="8">
        <v>490</v>
      </c>
      <c r="C30" s="9">
        <f t="shared" ref="C30:C33" si="17">B30/$B$34</f>
        <v>4.9000000000000002E-2</v>
      </c>
      <c r="D30" s="46">
        <f t="shared" si="12"/>
        <v>441</v>
      </c>
      <c r="E30" s="33">
        <f t="shared" si="13"/>
        <v>4.9000000000000002E-2</v>
      </c>
      <c r="F30" s="49">
        <f t="shared" si="14"/>
        <v>49</v>
      </c>
      <c r="G30" s="39">
        <f t="shared" si="15"/>
        <v>4.9000000000000002E-2</v>
      </c>
      <c r="H30" s="21">
        <f t="shared" si="16"/>
        <v>0</v>
      </c>
    </row>
    <row r="31" spans="1:10" x14ac:dyDescent="0.35">
      <c r="A31" s="7" t="s">
        <v>3</v>
      </c>
      <c r="B31" s="8">
        <v>1050</v>
      </c>
      <c r="C31" s="9">
        <f t="shared" si="17"/>
        <v>0.105</v>
      </c>
      <c r="D31" s="46">
        <f t="shared" si="12"/>
        <v>945</v>
      </c>
      <c r="E31" s="33">
        <f t="shared" si="13"/>
        <v>0.105</v>
      </c>
      <c r="F31" s="49">
        <f t="shared" si="14"/>
        <v>105</v>
      </c>
      <c r="G31" s="39">
        <f t="shared" si="15"/>
        <v>0.105</v>
      </c>
      <c r="H31" s="21">
        <f t="shared" si="16"/>
        <v>0</v>
      </c>
    </row>
    <row r="32" spans="1:10" x14ac:dyDescent="0.35">
      <c r="A32" s="7" t="s">
        <v>4</v>
      </c>
      <c r="B32" s="8">
        <v>140</v>
      </c>
      <c r="C32" s="9">
        <f t="shared" si="17"/>
        <v>1.4E-2</v>
      </c>
      <c r="D32" s="46">
        <f t="shared" si="12"/>
        <v>126</v>
      </c>
      <c r="E32" s="33">
        <f t="shared" si="13"/>
        <v>1.4E-2</v>
      </c>
      <c r="F32" s="49">
        <f t="shared" si="14"/>
        <v>14</v>
      </c>
      <c r="G32" s="39">
        <f t="shared" si="15"/>
        <v>1.4E-2</v>
      </c>
      <c r="H32" s="21">
        <f t="shared" si="16"/>
        <v>0</v>
      </c>
    </row>
    <row r="33" spans="1:8" ht="15" thickBot="1" x14ac:dyDescent="0.4">
      <c r="A33" s="11" t="s">
        <v>5</v>
      </c>
      <c r="B33" s="12">
        <v>20</v>
      </c>
      <c r="C33" s="13">
        <f t="shared" si="17"/>
        <v>2E-3</v>
      </c>
      <c r="D33" s="47">
        <f t="shared" si="12"/>
        <v>18</v>
      </c>
      <c r="E33" s="35">
        <f t="shared" si="13"/>
        <v>2E-3</v>
      </c>
      <c r="F33" s="50">
        <f t="shared" si="14"/>
        <v>2</v>
      </c>
      <c r="G33" s="41">
        <f t="shared" si="15"/>
        <v>2E-3</v>
      </c>
      <c r="H33" s="22">
        <f t="shared" si="16"/>
        <v>0</v>
      </c>
    </row>
    <row r="34" spans="1:8" x14ac:dyDescent="0.35">
      <c r="A34" s="1" t="s">
        <v>14</v>
      </c>
      <c r="B34">
        <f>SUM(B28:B33)</f>
        <v>10000</v>
      </c>
      <c r="D34">
        <v>9000</v>
      </c>
      <c r="F34">
        <v>1000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33CF-1D2B-4858-B978-FCFFFBD57F30}">
  <dimension ref="A2:J20"/>
  <sheetViews>
    <sheetView workbookViewId="0"/>
  </sheetViews>
  <sheetFormatPr defaultRowHeight="14.5" x14ac:dyDescent="0.35"/>
  <cols>
    <col min="1" max="1" width="15.81640625" bestFit="1" customWidth="1"/>
    <col min="2" max="8" width="10.81640625" customWidth="1"/>
    <col min="9" max="9" width="20.453125" bestFit="1" customWidth="1"/>
  </cols>
  <sheetData>
    <row r="2" spans="1:10" s="92" customFormat="1" x14ac:dyDescent="0.35">
      <c r="A2" s="91" t="s">
        <v>18</v>
      </c>
    </row>
    <row r="3" spans="1:10" ht="15" thickBot="1" x14ac:dyDescent="0.4">
      <c r="J3" t="s">
        <v>42</v>
      </c>
    </row>
    <row r="4" spans="1:10" ht="15" thickBot="1" x14ac:dyDescent="0.4">
      <c r="A4" s="26" t="s">
        <v>0</v>
      </c>
      <c r="B4" s="59" t="s">
        <v>7</v>
      </c>
      <c r="C4" s="59" t="s">
        <v>8</v>
      </c>
      <c r="D4" s="59" t="s">
        <v>6</v>
      </c>
      <c r="E4" s="59" t="s">
        <v>9</v>
      </c>
      <c r="F4" s="59" t="s">
        <v>10</v>
      </c>
      <c r="G4" s="59" t="s">
        <v>11</v>
      </c>
      <c r="H4" s="60" t="s">
        <v>12</v>
      </c>
      <c r="I4" s="81" t="s">
        <v>43</v>
      </c>
      <c r="J4">
        <v>0.1</v>
      </c>
    </row>
    <row r="5" spans="1:10" x14ac:dyDescent="0.35">
      <c r="A5" s="3" t="s">
        <v>1</v>
      </c>
      <c r="B5" s="61">
        <f>D5+F5</f>
        <v>6300</v>
      </c>
      <c r="C5" s="62">
        <f>B5/$B$11</f>
        <v>0.63113604488078545</v>
      </c>
      <c r="D5" s="63">
        <v>6000</v>
      </c>
      <c r="E5" s="64">
        <f>D5/$D$11</f>
        <v>0.66733400066733395</v>
      </c>
      <c r="F5" s="65">
        <v>300</v>
      </c>
      <c r="G5" s="66">
        <f>F5/$F$11</f>
        <v>0.30272452068617556</v>
      </c>
      <c r="H5" s="86">
        <f>LN(E5/G5)*100</f>
        <v>79.046745189920614</v>
      </c>
      <c r="I5" s="82">
        <f>LN((E5+$J$4)/(G5+$J$4))*100</f>
        <v>64.466941358591285</v>
      </c>
    </row>
    <row r="6" spans="1:10" x14ac:dyDescent="0.35">
      <c r="A6" s="7" t="s">
        <v>2</v>
      </c>
      <c r="B6" s="67">
        <f t="shared" ref="B6:B10" si="0">D6+F6</f>
        <v>2000</v>
      </c>
      <c r="C6" s="68">
        <f t="shared" ref="C6:C10" si="1">B6/$B$11</f>
        <v>0.2003606491685033</v>
      </c>
      <c r="D6" s="69">
        <v>1600</v>
      </c>
      <c r="E6" s="70">
        <f t="shared" ref="E6:E10" si="2">D6/$D$11</f>
        <v>0.17795573351128907</v>
      </c>
      <c r="F6" s="71">
        <v>400</v>
      </c>
      <c r="G6" s="72">
        <f t="shared" ref="G6:G10" si="3">F6/$F$11</f>
        <v>0.40363269424823411</v>
      </c>
      <c r="H6" s="87">
        <f t="shared" ref="H6:I10" si="4">LN(E6/G6)*100</f>
        <v>-81.897046053489419</v>
      </c>
      <c r="I6" s="83">
        <f t="shared" ref="I6:I10" si="5">LN((E6+$J$4)/(G6+$J$4))*100</f>
        <v>-59.438535208961241</v>
      </c>
    </row>
    <row r="7" spans="1:10" x14ac:dyDescent="0.35">
      <c r="A7" s="7" t="s">
        <v>13</v>
      </c>
      <c r="B7" s="67">
        <f t="shared" si="0"/>
        <v>490</v>
      </c>
      <c r="C7" s="68">
        <f t="shared" si="1"/>
        <v>4.9088359046283309E-2</v>
      </c>
      <c r="D7" s="69">
        <v>350</v>
      </c>
      <c r="E7" s="70">
        <f t="shared" si="2"/>
        <v>3.8927816705594483E-2</v>
      </c>
      <c r="F7" s="71">
        <v>140</v>
      </c>
      <c r="G7" s="72">
        <f t="shared" si="3"/>
        <v>0.14127144298688193</v>
      </c>
      <c r="H7" s="87">
        <f t="shared" si="4"/>
        <v>-128.89740897806297</v>
      </c>
      <c r="I7" s="83">
        <f t="shared" si="5"/>
        <v>-55.196812514720037</v>
      </c>
    </row>
    <row r="8" spans="1:10" x14ac:dyDescent="0.35">
      <c r="A8" s="7" t="s">
        <v>3</v>
      </c>
      <c r="B8" s="67">
        <f t="shared" si="0"/>
        <v>1050</v>
      </c>
      <c r="C8" s="68">
        <f t="shared" si="1"/>
        <v>0.10518934081346423</v>
      </c>
      <c r="D8" s="69">
        <v>950</v>
      </c>
      <c r="E8" s="70">
        <f t="shared" si="2"/>
        <v>0.10566121677232788</v>
      </c>
      <c r="F8" s="71">
        <v>100</v>
      </c>
      <c r="G8" s="72">
        <f t="shared" si="3"/>
        <v>0.10090817356205853</v>
      </c>
      <c r="H8" s="87">
        <f t="shared" si="4"/>
        <v>4.6026976951710159</v>
      </c>
      <c r="I8" s="83">
        <f t="shared" si="5"/>
        <v>2.3382280488005094</v>
      </c>
    </row>
    <row r="9" spans="1:10" x14ac:dyDescent="0.35">
      <c r="A9" s="7" t="s">
        <v>4</v>
      </c>
      <c r="B9" s="67">
        <f t="shared" si="0"/>
        <v>140</v>
      </c>
      <c r="C9" s="68">
        <f t="shared" si="1"/>
        <v>1.4025245441795231E-2</v>
      </c>
      <c r="D9" s="69">
        <v>90</v>
      </c>
      <c r="E9" s="70">
        <f t="shared" si="2"/>
        <v>1.001001001001001E-2</v>
      </c>
      <c r="F9" s="71">
        <v>50</v>
      </c>
      <c r="G9" s="72">
        <f t="shared" si="3"/>
        <v>5.0454086781029264E-2</v>
      </c>
      <c r="H9" s="87">
        <f t="shared" si="4"/>
        <v>-161.74781567526659</v>
      </c>
      <c r="I9" s="83">
        <f t="shared" si="5"/>
        <v>-31.308660467968263</v>
      </c>
    </row>
    <row r="10" spans="1:10" ht="15" thickBot="1" x14ac:dyDescent="0.4">
      <c r="A10" s="11" t="s">
        <v>5</v>
      </c>
      <c r="B10" s="73">
        <f t="shared" si="0"/>
        <v>2</v>
      </c>
      <c r="C10" s="74">
        <f t="shared" si="1"/>
        <v>2.0036064916850331E-4</v>
      </c>
      <c r="D10" s="75">
        <v>1</v>
      </c>
      <c r="E10" s="76">
        <f t="shared" si="2"/>
        <v>1.1122233344455567E-4</v>
      </c>
      <c r="F10" s="77">
        <v>1</v>
      </c>
      <c r="G10" s="78">
        <f t="shared" si="3"/>
        <v>1.0090817356205853E-3</v>
      </c>
      <c r="H10" s="88">
        <f t="shared" si="4"/>
        <v>-220.52648216547848</v>
      </c>
      <c r="I10" s="84">
        <f t="shared" si="5"/>
        <v>-0.89286397129202566</v>
      </c>
    </row>
    <row r="11" spans="1:10" ht="15" thickBot="1" x14ac:dyDescent="0.4">
      <c r="A11" s="58" t="s">
        <v>14</v>
      </c>
      <c r="B11" s="79">
        <f>SUM(B5:B10)</f>
        <v>9982</v>
      </c>
      <c r="C11" s="79"/>
      <c r="D11" s="79">
        <f>SUM(D5:D10)</f>
        <v>8991</v>
      </c>
      <c r="E11" s="79"/>
      <c r="F11" s="79">
        <f>SUM(F5:F10)</f>
        <v>991</v>
      </c>
      <c r="G11" s="79"/>
      <c r="H11" s="80"/>
    </row>
    <row r="12" spans="1:10" ht="15" thickBot="1" x14ac:dyDescent="0.4">
      <c r="J12" t="s">
        <v>42</v>
      </c>
    </row>
    <row r="13" spans="1:10" ht="15" thickBot="1" x14ac:dyDescent="0.4">
      <c r="A13" s="26" t="s">
        <v>0</v>
      </c>
      <c r="B13" s="59" t="s">
        <v>7</v>
      </c>
      <c r="C13" s="59" t="s">
        <v>8</v>
      </c>
      <c r="D13" s="59" t="s">
        <v>6</v>
      </c>
      <c r="E13" s="59" t="s">
        <v>9</v>
      </c>
      <c r="F13" s="59" t="s">
        <v>10</v>
      </c>
      <c r="G13" s="59" t="s">
        <v>11</v>
      </c>
      <c r="H13" s="60" t="s">
        <v>12</v>
      </c>
      <c r="I13" s="81" t="s">
        <v>43</v>
      </c>
      <c r="J13">
        <v>0.1</v>
      </c>
    </row>
    <row r="14" spans="1:10" x14ac:dyDescent="0.35">
      <c r="A14" s="3" t="s">
        <v>1</v>
      </c>
      <c r="B14" s="61">
        <f>D14+F14</f>
        <v>6301</v>
      </c>
      <c r="C14" s="62">
        <f>B14/$B$11</f>
        <v>0.63123622520536971</v>
      </c>
      <c r="D14" s="63">
        <v>6001</v>
      </c>
      <c r="E14" s="64">
        <f>D14/$D$11</f>
        <v>0.66744522300077858</v>
      </c>
      <c r="F14" s="65">
        <v>300</v>
      </c>
      <c r="G14" s="66">
        <f>F14/$F$11</f>
        <v>0.30272452068617556</v>
      </c>
      <c r="H14" s="86">
        <f>LN(E14/G14)*100</f>
        <v>79.063410467852719</v>
      </c>
      <c r="I14" s="85">
        <f>LN((E14+$J$13)/(G14+$J$13))*100</f>
        <v>64.481434952448183</v>
      </c>
    </row>
    <row r="15" spans="1:10" x14ac:dyDescent="0.35">
      <c r="A15" s="7" t="s">
        <v>2</v>
      </c>
      <c r="B15" s="67">
        <f t="shared" ref="B15:B19" si="6">D15+F15</f>
        <v>2000</v>
      </c>
      <c r="C15" s="68">
        <f t="shared" ref="C15:C19" si="7">B15/$B$11</f>
        <v>0.2003606491685033</v>
      </c>
      <c r="D15" s="69">
        <v>1600</v>
      </c>
      <c r="E15" s="70">
        <f t="shared" ref="E15:E19" si="8">D15/$D$11</f>
        <v>0.17795573351128907</v>
      </c>
      <c r="F15" s="71">
        <v>400</v>
      </c>
      <c r="G15" s="72">
        <f t="shared" ref="G15:G19" si="9">F15/$F$11</f>
        <v>0.40363269424823411</v>
      </c>
      <c r="H15" s="87">
        <f t="shared" ref="H15:H19" si="10">LN(E15/G15)*100</f>
        <v>-81.897046053489419</v>
      </c>
      <c r="I15" s="89">
        <f t="shared" ref="I15:I19" si="11">LN((E15+$J$13)/(G15+$J$13))*100</f>
        <v>-59.438535208961241</v>
      </c>
    </row>
    <row r="16" spans="1:10" x14ac:dyDescent="0.35">
      <c r="A16" s="7" t="s">
        <v>13</v>
      </c>
      <c r="B16" s="67">
        <f t="shared" si="6"/>
        <v>490</v>
      </c>
      <c r="C16" s="68">
        <f t="shared" si="7"/>
        <v>4.9088359046283309E-2</v>
      </c>
      <c r="D16" s="69">
        <v>350</v>
      </c>
      <c r="E16" s="70">
        <f t="shared" si="8"/>
        <v>3.8927816705594483E-2</v>
      </c>
      <c r="F16" s="71">
        <v>140</v>
      </c>
      <c r="G16" s="72">
        <f t="shared" si="9"/>
        <v>0.14127144298688193</v>
      </c>
      <c r="H16" s="87">
        <f t="shared" si="10"/>
        <v>-128.89740897806297</v>
      </c>
      <c r="I16" s="89">
        <f t="shared" si="11"/>
        <v>-55.196812514720037</v>
      </c>
    </row>
    <row r="17" spans="1:9" x14ac:dyDescent="0.35">
      <c r="A17" s="7" t="s">
        <v>3</v>
      </c>
      <c r="B17" s="67">
        <f t="shared" si="6"/>
        <v>1050</v>
      </c>
      <c r="C17" s="68">
        <f t="shared" si="7"/>
        <v>0.10518934081346423</v>
      </c>
      <c r="D17" s="69">
        <v>950</v>
      </c>
      <c r="E17" s="70">
        <f t="shared" si="8"/>
        <v>0.10566121677232788</v>
      </c>
      <c r="F17" s="71">
        <v>100</v>
      </c>
      <c r="G17" s="72">
        <f t="shared" si="9"/>
        <v>0.10090817356205853</v>
      </c>
      <c r="H17" s="87">
        <f t="shared" si="10"/>
        <v>4.6026976951710159</v>
      </c>
      <c r="I17" s="89">
        <f t="shared" si="11"/>
        <v>2.3382280488005094</v>
      </c>
    </row>
    <row r="18" spans="1:9" x14ac:dyDescent="0.35">
      <c r="A18" s="7" t="s">
        <v>4</v>
      </c>
      <c r="B18" s="67">
        <f t="shared" si="6"/>
        <v>140</v>
      </c>
      <c r="C18" s="68">
        <f t="shared" si="7"/>
        <v>1.4025245441795231E-2</v>
      </c>
      <c r="D18" s="69">
        <v>90</v>
      </c>
      <c r="E18" s="70">
        <f t="shared" si="8"/>
        <v>1.001001001001001E-2</v>
      </c>
      <c r="F18" s="71">
        <v>50</v>
      </c>
      <c r="G18" s="72">
        <f t="shared" si="9"/>
        <v>5.0454086781029264E-2</v>
      </c>
      <c r="H18" s="87">
        <f t="shared" si="10"/>
        <v>-161.74781567526659</v>
      </c>
      <c r="I18" s="89">
        <f t="shared" si="11"/>
        <v>-31.308660467968263</v>
      </c>
    </row>
    <row r="19" spans="1:9" ht="15" thickBot="1" x14ac:dyDescent="0.4">
      <c r="A19" s="11" t="s">
        <v>5</v>
      </c>
      <c r="B19" s="73">
        <f t="shared" si="6"/>
        <v>3</v>
      </c>
      <c r="C19" s="74">
        <f t="shared" si="7"/>
        <v>3.0054097375275494E-4</v>
      </c>
      <c r="D19" s="75">
        <v>2</v>
      </c>
      <c r="E19" s="76">
        <f t="shared" si="8"/>
        <v>2.2244466688911134E-4</v>
      </c>
      <c r="F19" s="77">
        <v>1</v>
      </c>
      <c r="G19" s="78">
        <f t="shared" si="9"/>
        <v>1.0090817356205853E-3</v>
      </c>
      <c r="H19" s="88">
        <f t="shared" si="10"/>
        <v>-151.21176410948397</v>
      </c>
      <c r="I19" s="90">
        <f t="shared" si="11"/>
        <v>-0.78182687349681934</v>
      </c>
    </row>
    <row r="20" spans="1:9" ht="15" thickBot="1" x14ac:dyDescent="0.4">
      <c r="A20" s="58" t="s">
        <v>14</v>
      </c>
      <c r="B20" s="79">
        <f>SUM(B14:B19)</f>
        <v>9984</v>
      </c>
      <c r="C20" s="79"/>
      <c r="D20" s="79">
        <f>SUM(D14:D19)</f>
        <v>8993</v>
      </c>
      <c r="E20" s="79"/>
      <c r="F20" s="79">
        <f>SUM(F14:F19)</f>
        <v>991</v>
      </c>
      <c r="G20" s="79"/>
      <c r="H20" s="8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4E477C8C2107479A50B74628007655" ma:contentTypeVersion="18" ma:contentTypeDescription="Create a new document." ma:contentTypeScope="" ma:versionID="74ff3352c2eeb8a76cd3a2498b218c03">
  <xsd:schema xmlns:xsd="http://www.w3.org/2001/XMLSchema" xmlns:xs="http://www.w3.org/2001/XMLSchema" xmlns:p="http://schemas.microsoft.com/office/2006/metadata/properties" xmlns:ns3="ea90b52a-1d75-4f3f-9c80-e967e62e59d2" xmlns:ns4="3dcd04d7-aa1f-4877-bdfd-dc9a2cf03f93" targetNamespace="http://schemas.microsoft.com/office/2006/metadata/properties" ma:root="true" ma:fieldsID="7d76d8dcdc4a6663fbb3350b915f169e" ns3:_="" ns4:_="">
    <xsd:import namespace="ea90b52a-1d75-4f3f-9c80-e967e62e59d2"/>
    <xsd:import namespace="3dcd04d7-aa1f-4877-bdfd-dc9a2cf03f9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90b52a-1d75-4f3f-9c80-e967e62e59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d04d7-aa1f-4877-bdfd-dc9a2cf03f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a90b52a-1d75-4f3f-9c80-e967e62e59d2" xsi:nil="true"/>
  </documentManagement>
</p:properties>
</file>

<file path=customXml/itemProps1.xml><?xml version="1.0" encoding="utf-8"?>
<ds:datastoreItem xmlns:ds="http://schemas.openxmlformats.org/officeDocument/2006/customXml" ds:itemID="{5A13C393-43A1-44D8-BD90-30F7E62CD9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731236-CF4A-4F83-866B-6235AF2AEE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90b52a-1d75-4f3f-9c80-e967e62e59d2"/>
    <ds:schemaRef ds:uri="3dcd04d7-aa1f-4877-bdfd-dc9a2cf03f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17E847-5FC7-4B14-B000-4DA7B8316649}">
  <ds:schemaRefs>
    <ds:schemaRef ds:uri="http://schemas.microsoft.com/office/infopath/2007/PartnerControls"/>
    <ds:schemaRef ds:uri="http://www.w3.org/XML/1998/namespace"/>
    <ds:schemaRef ds:uri="http://purl.org/dc/elements/1.1/"/>
    <ds:schemaRef ds:uri="http://purl.org/dc/dcmitype/"/>
    <ds:schemaRef ds:uri="ea90b52a-1d75-4f3f-9c80-e967e62e59d2"/>
    <ds:schemaRef ds:uri="http://purl.org/dc/terms/"/>
    <ds:schemaRef ds:uri="http://schemas.microsoft.com/office/2006/documentManagement/types"/>
    <ds:schemaRef ds:uri="3dcd04d7-aa1f-4877-bdfd-dc9a2cf03f93"/>
    <ds:schemaRef ds:uri="http://schemas.microsoft.com/office/2006/metadata/properti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tables</vt:lpstr>
      <vt:lpstr>WOE calculation</vt:lpstr>
      <vt:lpstr>WOE stability</vt:lpstr>
    </vt:vector>
  </TitlesOfParts>
  <Company>KU 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Wouter Verbeke</dc:creator>
  <cp:lastModifiedBy>Wouter Verbeke</cp:lastModifiedBy>
  <dcterms:created xsi:type="dcterms:W3CDTF">2024-12-17T13:54:01Z</dcterms:created>
  <dcterms:modified xsi:type="dcterms:W3CDTF">2025-09-29T10:21:10Z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0x010100354E477C8C2107479A50B74628007655</vt:lpwstr>
  </property>
</Properties>
</file>